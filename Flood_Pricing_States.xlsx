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est/Downloads/"/>
    </mc:Choice>
  </mc:AlternateContent>
  <xr:revisionPtr revIDLastSave="0" documentId="8_{B14D43E8-B4AA-BC4E-BEB4-22E9AED27661}" xr6:coauthVersionLast="47" xr6:coauthVersionMax="47" xr10:uidLastSave="{00000000-0000-0000-0000-000000000000}"/>
  <bookViews>
    <workbookView xWindow="0" yWindow="720" windowWidth="29400" windowHeight="18400" activeTab="1" xr2:uid="{6D002EC3-615E-594D-A412-53B65562F3CB}"/>
  </bookViews>
  <sheets>
    <sheet name="Dashboard" sheetId="4" r:id="rId1"/>
    <sheet name="Flood_Pricing_Model_State" sheetId="2" r:id="rId2"/>
    <sheet name="Monte_Carlo_Sim Dat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F16" i="3"/>
  <c r="F24" i="3"/>
  <c r="F32" i="3"/>
  <c r="F39" i="3"/>
  <c r="F40" i="3"/>
  <c r="F48" i="3"/>
  <c r="F49" i="3"/>
  <c r="G7" i="2"/>
  <c r="I7" i="2" s="1"/>
  <c r="G8" i="2"/>
  <c r="G9" i="2"/>
  <c r="G10" i="2"/>
  <c r="I10" i="2" s="1"/>
  <c r="G11" i="2"/>
  <c r="I11" i="2" s="1"/>
  <c r="K11" i="2" s="1"/>
  <c r="F7" i="3" s="1"/>
  <c r="G12" i="2"/>
  <c r="I12" i="2" s="1"/>
  <c r="K12" i="2" s="1"/>
  <c r="G13" i="2"/>
  <c r="I13" i="2" s="1"/>
  <c r="J13" i="2" s="1"/>
  <c r="G14" i="2"/>
  <c r="I14" i="2" s="1"/>
  <c r="J14" i="2" s="1"/>
  <c r="G15" i="2"/>
  <c r="I15" i="2" s="1"/>
  <c r="G16" i="2"/>
  <c r="G17" i="2"/>
  <c r="G18" i="2"/>
  <c r="I18" i="2" s="1"/>
  <c r="G19" i="2"/>
  <c r="I19" i="2" s="1"/>
  <c r="K19" i="2" s="1"/>
  <c r="F15" i="3" s="1"/>
  <c r="G20" i="2"/>
  <c r="I20" i="2" s="1"/>
  <c r="K20" i="2" s="1"/>
  <c r="G21" i="2"/>
  <c r="I21" i="2" s="1"/>
  <c r="J21" i="2" s="1"/>
  <c r="G22" i="2"/>
  <c r="I22" i="2" s="1"/>
  <c r="J22" i="2" s="1"/>
  <c r="G23" i="2"/>
  <c r="G24" i="2"/>
  <c r="G25" i="2"/>
  <c r="G26" i="2"/>
  <c r="I26" i="2" s="1"/>
  <c r="G27" i="2"/>
  <c r="I27" i="2" s="1"/>
  <c r="K27" i="2" s="1"/>
  <c r="F23" i="3" s="1"/>
  <c r="G28" i="2"/>
  <c r="I28" i="2" s="1"/>
  <c r="K28" i="2" s="1"/>
  <c r="G29" i="2"/>
  <c r="I29" i="2" s="1"/>
  <c r="J29" i="2" s="1"/>
  <c r="G30" i="2"/>
  <c r="I30" i="2" s="1"/>
  <c r="K30" i="2" s="1"/>
  <c r="F26" i="3" s="1"/>
  <c r="G31" i="2"/>
  <c r="I31" i="2" s="1"/>
  <c r="G32" i="2"/>
  <c r="G33" i="2"/>
  <c r="I33" i="2" s="1"/>
  <c r="G34" i="2"/>
  <c r="I34" i="2" s="1"/>
  <c r="G35" i="2"/>
  <c r="I35" i="2" s="1"/>
  <c r="K35" i="2" s="1"/>
  <c r="F31" i="3" s="1"/>
  <c r="G36" i="2"/>
  <c r="I36" i="2" s="1"/>
  <c r="K36" i="2" s="1"/>
  <c r="G37" i="2"/>
  <c r="I37" i="2" s="1"/>
  <c r="K37" i="2" s="1"/>
  <c r="F33" i="3" s="1"/>
  <c r="G38" i="2"/>
  <c r="I38" i="2" s="1"/>
  <c r="J38" i="2" s="1"/>
  <c r="G39" i="2"/>
  <c r="I39" i="2" s="1"/>
  <c r="G40" i="2"/>
  <c r="G41" i="2"/>
  <c r="G42" i="2"/>
  <c r="I42" i="2" s="1"/>
  <c r="G43" i="2"/>
  <c r="I43" i="2" s="1"/>
  <c r="K43" i="2" s="1"/>
  <c r="G44" i="2"/>
  <c r="I44" i="2" s="1"/>
  <c r="K44" i="2" s="1"/>
  <c r="G45" i="2"/>
  <c r="I45" i="2" s="1"/>
  <c r="J45" i="2" s="1"/>
  <c r="G46" i="2"/>
  <c r="I46" i="2" s="1"/>
  <c r="K46" i="2" s="1"/>
  <c r="F42" i="3" s="1"/>
  <c r="G47" i="2"/>
  <c r="G48" i="2"/>
  <c r="G49" i="2"/>
  <c r="I49" i="2" s="1"/>
  <c r="G50" i="2"/>
  <c r="I50" i="2" s="1"/>
  <c r="G51" i="2"/>
  <c r="I51" i="2" s="1"/>
  <c r="K51" i="2" s="1"/>
  <c r="F47" i="3" s="1"/>
  <c r="G52" i="2"/>
  <c r="I52" i="2" s="1"/>
  <c r="K52" i="2" s="1"/>
  <c r="G53" i="2"/>
  <c r="I53" i="2" s="1"/>
  <c r="K53" i="2" s="1"/>
  <c r="G54" i="2"/>
  <c r="I54" i="2" s="1"/>
  <c r="J54" i="2" s="1"/>
  <c r="G55" i="2"/>
  <c r="G6" i="2"/>
  <c r="I6" i="2"/>
  <c r="F5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6" i="2"/>
  <c r="I8" i="2"/>
  <c r="I9" i="2"/>
  <c r="I16" i="2"/>
  <c r="I17" i="2"/>
  <c r="I23" i="2"/>
  <c r="I24" i="2"/>
  <c r="I25" i="2"/>
  <c r="I32" i="2"/>
  <c r="I40" i="2"/>
  <c r="I41" i="2"/>
  <c r="I47" i="2"/>
  <c r="I48" i="2"/>
  <c r="I55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6" i="2"/>
  <c r="J50" i="2" l="1"/>
  <c r="K50" i="2"/>
  <c r="F46" i="3" s="1"/>
  <c r="J10" i="2"/>
  <c r="K10" i="2"/>
  <c r="F6" i="3" s="1"/>
  <c r="J25" i="2"/>
  <c r="K25" i="2"/>
  <c r="F21" i="3" s="1"/>
  <c r="J42" i="2"/>
  <c r="K42" i="2"/>
  <c r="F38" i="3" s="1"/>
  <c r="J33" i="2"/>
  <c r="K33" i="2"/>
  <c r="F29" i="3" s="1"/>
  <c r="K40" i="2"/>
  <c r="F36" i="3" s="1"/>
  <c r="J40" i="2"/>
  <c r="J31" i="2"/>
  <c r="K31" i="2"/>
  <c r="F27" i="3" s="1"/>
  <c r="J26" i="2"/>
  <c r="K26" i="2"/>
  <c r="F22" i="3" s="1"/>
  <c r="J17" i="2"/>
  <c r="K17" i="2"/>
  <c r="F13" i="3" s="1"/>
  <c r="K6" i="2"/>
  <c r="F2" i="3" s="1"/>
  <c r="I56" i="2"/>
  <c r="J56" i="2" s="1"/>
  <c r="J6" i="2"/>
  <c r="K24" i="2"/>
  <c r="F20" i="3" s="1"/>
  <c r="J24" i="2"/>
  <c r="J8" i="2"/>
  <c r="K8" i="2"/>
  <c r="F4" i="3" s="1"/>
  <c r="K47" i="2"/>
  <c r="F43" i="3" s="1"/>
  <c r="J47" i="2"/>
  <c r="K15" i="2"/>
  <c r="F11" i="3" s="1"/>
  <c r="J15" i="2"/>
  <c r="J18" i="2"/>
  <c r="K18" i="2"/>
  <c r="F14" i="3" s="1"/>
  <c r="J49" i="2"/>
  <c r="K49" i="2"/>
  <c r="F45" i="3" s="1"/>
  <c r="J9" i="2"/>
  <c r="K9" i="2"/>
  <c r="F5" i="3" s="1"/>
  <c r="K32" i="2"/>
  <c r="F28" i="3" s="1"/>
  <c r="J32" i="2"/>
  <c r="K23" i="2"/>
  <c r="F19" i="3" s="1"/>
  <c r="J23" i="2"/>
  <c r="K34" i="2"/>
  <c r="F30" i="3" s="1"/>
  <c r="J34" i="2"/>
  <c r="J41" i="2"/>
  <c r="K41" i="2"/>
  <c r="F37" i="3" s="1"/>
  <c r="J48" i="2"/>
  <c r="K48" i="2"/>
  <c r="F44" i="3" s="1"/>
  <c r="K16" i="2"/>
  <c r="F12" i="3" s="1"/>
  <c r="J16" i="2"/>
  <c r="J55" i="2"/>
  <c r="K55" i="2"/>
  <c r="F51" i="3" s="1"/>
  <c r="K39" i="2"/>
  <c r="F35" i="3" s="1"/>
  <c r="J39" i="2"/>
  <c r="K7" i="2"/>
  <c r="F3" i="3" s="1"/>
  <c r="J7" i="2"/>
  <c r="J46" i="2"/>
  <c r="J30" i="2"/>
  <c r="J53" i="2"/>
  <c r="J44" i="2"/>
  <c r="J36" i="2"/>
  <c r="J28" i="2"/>
  <c r="J20" i="2"/>
  <c r="J12" i="2"/>
  <c r="K54" i="2"/>
  <c r="F50" i="3" s="1"/>
  <c r="K38" i="2"/>
  <c r="F34" i="3" s="1"/>
  <c r="K22" i="2"/>
  <c r="F18" i="3" s="1"/>
  <c r="K14" i="2"/>
  <c r="F10" i="3" s="1"/>
  <c r="J37" i="2"/>
  <c r="J51" i="2"/>
  <c r="J43" i="2"/>
  <c r="J35" i="2"/>
  <c r="J27" i="2"/>
  <c r="J19" i="2"/>
  <c r="J11" i="2"/>
  <c r="K45" i="2"/>
  <c r="F41" i="3" s="1"/>
  <c r="K29" i="2"/>
  <c r="F25" i="3" s="1"/>
  <c r="K21" i="2"/>
  <c r="F17" i="3" s="1"/>
  <c r="K13" i="2"/>
  <c r="F9" i="3" s="1"/>
  <c r="J52" i="2"/>
  <c r="K56" i="2" l="1"/>
</calcChain>
</file>

<file path=xl/sharedStrings.xml><?xml version="1.0" encoding="utf-8"?>
<sst xmlns="http://schemas.openxmlformats.org/spreadsheetml/2006/main" count="171" uniqueCount="79">
  <si>
    <t>Texas</t>
  </si>
  <si>
    <t>California</t>
  </si>
  <si>
    <t>Washington</t>
  </si>
  <si>
    <t>Global Temperature Anomaly (°C)</t>
  </si>
  <si>
    <t>Atmospheric Moisture Factor(%/°C)</t>
  </si>
  <si>
    <t>Runoff Amplication Multiplier</t>
  </si>
  <si>
    <t>State</t>
  </si>
  <si>
    <t>Primary Flood Peril Profile</t>
  </si>
  <si>
    <t>Historical Freq (λ0)</t>
  </si>
  <si>
    <t>Hist Avg Claim ($)</t>
  </si>
  <si>
    <t>Severity Multiplier</t>
  </si>
  <si>
    <t>Baseline Pure Premium ($)</t>
  </si>
  <si>
    <t>Climate Freq (λc)</t>
  </si>
  <si>
    <t>Climate Avg Claim ($)</t>
  </si>
  <si>
    <t>Climate Pure Premium ($)</t>
  </si>
  <si>
    <t>Rate Inadequacy (%)</t>
  </si>
  <si>
    <t>1-in-100 PML ($k)</t>
  </si>
  <si>
    <t>Alabama</t>
  </si>
  <si>
    <t>Alaska</t>
  </si>
  <si>
    <t>Arizona</t>
  </si>
  <si>
    <t>Arkansas</t>
  </si>
  <si>
    <t>Colorado</t>
  </si>
  <si>
    <t>Conneticut</t>
  </si>
  <si>
    <t>Delaware</t>
  </si>
  <si>
    <t>Florida</t>
  </si>
  <si>
    <t>Georgia</t>
  </si>
  <si>
    <t>Hawii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</si>
  <si>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</si>
  <si>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</si>
  <si>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</si>
  <si>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</si>
  <si>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</si>
  <si>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</si>
  <si>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</si>
  <si>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</si>
  <si>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</si>
  <si>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</si>
  <si>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</si>
  <si>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</si>
  <si>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</si>
  <si>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</si>
  <si>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</si>
  <si>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</si>
  <si>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</si>
  <si>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</si>
  <si>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</si>
  <si>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</si>
  <si>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</si>
  <si>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</si>
  <si>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</si>
  <si>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</si>
  <si>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</si>
  <si>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</si>
  <si>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</si>
  <si>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</si>
  <si>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</si>
  <si>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</si>
  <si>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</si>
  <si>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 xml:space="preserve">Utah </t>
  </si>
  <si>
    <t>Vermont</t>
  </si>
  <si>
    <t>Virginia</t>
  </si>
  <si>
    <t>West Virginia</t>
  </si>
  <si>
    <t>Wyoming</t>
  </si>
  <si>
    <t>Wisconsin</t>
  </si>
  <si>
    <t>Tropical and Hurricane Surge</t>
  </si>
  <si>
    <t>Pacific atmospheric River</t>
  </si>
  <si>
    <t>Arid Monsoon &amp; Snowmelt</t>
  </si>
  <si>
    <t>Interior river basin</t>
  </si>
  <si>
    <t>Coastal Surge</t>
  </si>
  <si>
    <t>Appalaichan Flash</t>
  </si>
  <si>
    <t>US Portfolio Total / Weighted Average</t>
  </si>
  <si>
    <t>Sim_Baseline_Pure_Prem ($)</t>
  </si>
  <si>
    <t>Sim_Climate_Pure_Prem ($)</t>
  </si>
  <si>
    <t>Sim_1_in_100_PML ($k)</t>
  </si>
  <si>
    <t>Sim_1_in_100_TVaR ($k)</t>
  </si>
  <si>
    <t>Connecticut</t>
  </si>
  <si>
    <t>Hawaii</t>
  </si>
  <si>
    <t>Utah</t>
  </si>
  <si>
    <t>Formula vs Sim Variance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</si>
</sst>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%"/>
    <numFmt numFmtId="170" formatCode="0.000"/>
    <numFmt numFmtId="171" formatCode="&quot;$&quot;#,##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0" xfId="0" applyNumberFormat="1"/>
    <xf numFmtId="0" fontId="2" fillId="0" borderId="0" xfId="0" applyFont="1"/>
    <xf numFmtId="170" fontId="0" fillId="0" borderId="0" xfId="0" applyNumberFormat="1"/>
    <xf numFmtId="2" fontId="0" fillId="0" borderId="0" xfId="0" applyNumberFormat="1"/>
    <xf numFmtId="171" fontId="0" fillId="0" borderId="0" xfId="0" applyNumberFormat="1"/>
    <xf numFmtId="10" fontId="0" fillId="0" borderId="0" xfId="0" applyNumberFormat="1"/>
    <xf numFmtId="0" fontId="1" fillId="0" borderId="0" xfId="0" applyFont="1"/>
    <xf numFmtId="0" fontId="4" fillId="0" borderId="0" xfId="0" applyFont="1"/>
    <xf numFmtId="0" fontId="3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797441</xdr:colOff>
      <xdr:row>2</xdr:row>
      <xdr:rowOff>24894</xdr:rowOff>
    </xdr:from>
    <xdr:to>
      <xdr:col>10</xdr:col>
      <xdr:colOff>118730</xdr:colOff>
      <xdr:row>24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D1808-461E-DCEC-15CD-FC4D0E76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441" y="438382"/>
          <a:ext cx="7591056" cy="4599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1FC8-B70D-BB44-B60A-D0295018FE5F}">
  <dimension ref="A1"/>
  <sheetViews>
    <sheetView topLeftCell="A3" workbookViewId="0">
      <selection activeCell="H48" sqref="H48:I5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51F6-425E-FF44-8D61-3A65D770BCCA}">
  <dimension ref="A1:K56"/>
  <sheetViews>
    <sheetView tabSelected="1" workbookViewId="0">
      <selection activeCell="C2" sqref="C2"/>
    </sheetView>
  </sheetViews>
  <sheetFormatPr baseColWidth="10" defaultRowHeight="16" x14ac:dyDescent="0.2"/>
  <cols>
    <col min="1" max="1" width="16.5" customWidth="1"/>
    <col min="2" max="2" width="31.1640625" customWidth="1"/>
    <col min="3" max="3" width="17.6640625" style="4" customWidth="1"/>
    <col min="4" max="4" width="16.83203125" style="5" customWidth="1"/>
    <col min="5" max="5" width="16.1640625" style="4" customWidth="1"/>
    <col min="6" max="6" width="21.5" customWidth="1"/>
    <col min="7" max="7" width="15" customWidth="1"/>
    <col min="8" max="8" width="18.6640625" customWidth="1"/>
    <col min="9" max="9" width="23.33203125" customWidth="1"/>
    <col min="10" max="10" width="18.83203125" style="1" customWidth="1"/>
    <col min="11" max="11" width="17.6640625" customWidth="1"/>
  </cols>
  <sheetData>
    <row r="1" spans="1:11" x14ac:dyDescent="0.2">
      <c r="C1"/>
      <c r="D1"/>
      <c r="E1"/>
      <c r="J1"/>
    </row>
    <row r="2" spans="1:11" x14ac:dyDescent="0.2">
      <c r="B2" t="s">
        <v>3</v>
      </c>
      <c r="C2" s="4">
        <v>0.5</v>
      </c>
    </row>
    <row r="3" spans="1:11" x14ac:dyDescent="0.2">
      <c r="B3" t="s">
        <v>4</v>
      </c>
      <c r="C3" s="4">
        <v>7.0000000000000007E-2</v>
      </c>
    </row>
    <row r="4" spans="1:11" x14ac:dyDescent="0.2">
      <c r="B4" t="s">
        <v>5</v>
      </c>
      <c r="C4" s="4">
        <v>1.5</v>
      </c>
    </row>
    <row r="5" spans="1:11" ht="17" x14ac:dyDescent="0.25">
      <c r="A5" t="s">
        <v>6</v>
      </c>
      <c r="B5" t="s">
        <v>7</v>
      </c>
      <c r="C5" s="4" t="s">
        <v>8</v>
      </c>
      <c r="D5" s="5" t="s">
        <v>9</v>
      </c>
      <c r="E5" s="4" t="s">
        <v>10</v>
      </c>
      <c r="F5" s="2" t="s">
        <v>11</v>
      </c>
      <c r="G5" t="s">
        <v>12</v>
      </c>
      <c r="H5" t="s">
        <v>13</v>
      </c>
      <c r="I5" t="s">
        <v>14</v>
      </c>
      <c r="J5" s="1" t="s">
        <v>15</v>
      </c>
      <c r="K5" t="s">
        <v>16</v>
      </c>
    </row>
    <row r="6" spans="1:11" x14ac:dyDescent="0.2">
      <c r="A6" t="s">
        <v>17</v>
      </c>
      <c r="B6" t="s">
        <v>64</v>
      </c>
      <c r="C6" s="4">
        <v>1.3</v>
      </c>
      <c r="D6" s="5">
        <v>52000</v>
      </c>
      <c r="E6" s="4">
        <v>1.45</v>
      </c>
      <c r="F6">
        <f>C6*D6</f>
        <v>67600</v>
      </c>
      <c r="G6">
        <f>C6*(1 + $C$2 * $C$3 * $C$4)</f>
        <v>1.36825</v>
      </c>
      <c r="H6">
        <f>D6*E6</f>
        <v>75400</v>
      </c>
      <c r="I6">
        <f>G6*H6</f>
        <v>103166.05</v>
      </c>
      <c r="J6" s="1">
        <f>(I6-F6)/F6</f>
        <v>0.52612500000000006</v>
      </c>
      <c r="K6" s="3">
        <f>(I6*(1 + 2.326 * 0.45 * SQRT(1/G6)))/1000</f>
        <v>195.48190544699</v>
      </c>
    </row>
    <row r="7" spans="1:11" x14ac:dyDescent="0.2">
      <c r="A7" t="s">
        <v>18</v>
      </c>
      <c r="B7" t="s">
        <v>65</v>
      </c>
      <c r="C7" s="4">
        <v>0.4</v>
      </c>
      <c r="D7" s="5">
        <v>38000</v>
      </c>
      <c r="E7" s="4">
        <v>1.35</v>
      </c>
      <c r="F7">
        <f t="shared" ref="F7:F55" si="0">C7*D7</f>
        <v>15200</v>
      </c>
      <c r="G7">
        <f t="shared" ref="G7:G55" si="1">C7*(1 + $C$2 * $C$3 * $C$4)</f>
        <v>0.42100000000000004</v>
      </c>
      <c r="H7">
        <f t="shared" ref="H7:H55" si="2">D7*E7</f>
        <v>51300</v>
      </c>
      <c r="I7">
        <f t="shared" ref="I7:I55" si="3">G7*H7</f>
        <v>21597.300000000003</v>
      </c>
      <c r="J7" s="1">
        <f t="shared" ref="J7:J55" si="4">(I7-F7)/F7</f>
        <v>0.42087500000000017</v>
      </c>
      <c r="K7" s="3">
        <f t="shared" ref="K7:K55" si="5">(I7*(1 + 2.326 * 0.45 * SQRT(1/G7)))/1000</f>
        <v>56.437499822649215</v>
      </c>
    </row>
    <row r="8" spans="1:11" x14ac:dyDescent="0.2">
      <c r="A8" t="s">
        <v>19</v>
      </c>
      <c r="B8" t="s">
        <v>66</v>
      </c>
      <c r="C8" s="4">
        <v>0.45</v>
      </c>
      <c r="D8" s="5">
        <v>34000</v>
      </c>
      <c r="E8" s="4">
        <v>1.3</v>
      </c>
      <c r="F8">
        <f t="shared" si="0"/>
        <v>15300</v>
      </c>
      <c r="G8">
        <f t="shared" si="1"/>
        <v>0.47362500000000002</v>
      </c>
      <c r="H8">
        <f t="shared" si="2"/>
        <v>44200</v>
      </c>
      <c r="I8">
        <f t="shared" si="3"/>
        <v>20934.225000000002</v>
      </c>
      <c r="J8" s="1">
        <f t="shared" si="4"/>
        <v>0.36825000000000013</v>
      </c>
      <c r="K8" s="3">
        <f t="shared" si="5"/>
        <v>52.773399754971955</v>
      </c>
    </row>
    <row r="9" spans="1:11" x14ac:dyDescent="0.2">
      <c r="A9" t="s">
        <v>20</v>
      </c>
      <c r="B9" t="s">
        <v>67</v>
      </c>
      <c r="C9" s="4">
        <v>0.95</v>
      </c>
      <c r="D9" s="5">
        <v>41000</v>
      </c>
      <c r="E9" s="4">
        <v>1.4</v>
      </c>
      <c r="F9">
        <f t="shared" si="0"/>
        <v>38950</v>
      </c>
      <c r="G9">
        <f t="shared" si="1"/>
        <v>0.99987499999999996</v>
      </c>
      <c r="H9">
        <f t="shared" si="2"/>
        <v>57399.999999999993</v>
      </c>
      <c r="I9">
        <f t="shared" si="3"/>
        <v>57392.82499999999</v>
      </c>
      <c r="J9" s="1">
        <f t="shared" si="4"/>
        <v>0.47349999999999975</v>
      </c>
      <c r="K9" s="3">
        <f t="shared" si="5"/>
        <v>117.46964984639776</v>
      </c>
    </row>
    <row r="10" spans="1:11" x14ac:dyDescent="0.2">
      <c r="A10" t="s">
        <v>1</v>
      </c>
      <c r="B10" t="s">
        <v>65</v>
      </c>
      <c r="C10" s="4">
        <v>0.65</v>
      </c>
      <c r="D10" s="5">
        <v>68000</v>
      </c>
      <c r="E10" s="4">
        <v>1.55</v>
      </c>
      <c r="F10">
        <f t="shared" si="0"/>
        <v>44200</v>
      </c>
      <c r="G10">
        <f t="shared" si="1"/>
        <v>0.68412499999999998</v>
      </c>
      <c r="H10">
        <f t="shared" si="2"/>
        <v>105400</v>
      </c>
      <c r="I10">
        <f t="shared" si="3"/>
        <v>72106.774999999994</v>
      </c>
      <c r="J10" s="1">
        <f t="shared" si="4"/>
        <v>0.63137499999999991</v>
      </c>
      <c r="K10" s="3">
        <f t="shared" si="5"/>
        <v>163.35629016853355</v>
      </c>
    </row>
    <row r="11" spans="1:11" x14ac:dyDescent="0.2">
      <c r="A11" t="s">
        <v>21</v>
      </c>
      <c r="B11" t="s">
        <v>66</v>
      </c>
      <c r="C11" s="4">
        <v>0.5</v>
      </c>
      <c r="D11" s="5">
        <v>42000</v>
      </c>
      <c r="E11" s="4">
        <v>1.35</v>
      </c>
      <c r="F11">
        <f t="shared" si="0"/>
        <v>21000</v>
      </c>
      <c r="G11">
        <f t="shared" si="1"/>
        <v>0.52625</v>
      </c>
      <c r="H11">
        <f t="shared" si="2"/>
        <v>56700.000000000007</v>
      </c>
      <c r="I11">
        <f t="shared" si="3"/>
        <v>29838.375000000004</v>
      </c>
      <c r="J11" s="1">
        <f t="shared" si="4"/>
        <v>0.42087500000000017</v>
      </c>
      <c r="K11" s="3">
        <f t="shared" si="5"/>
        <v>72.891168637250402</v>
      </c>
    </row>
    <row r="12" spans="1:11" x14ac:dyDescent="0.2">
      <c r="A12" t="s">
        <v>22</v>
      </c>
      <c r="B12" t="s">
        <v>68</v>
      </c>
      <c r="C12" s="4">
        <v>0.7</v>
      </c>
      <c r="D12" s="5">
        <v>49000</v>
      </c>
      <c r="E12" s="4">
        <v>1.45</v>
      </c>
      <c r="F12">
        <f t="shared" si="0"/>
        <v>34300</v>
      </c>
      <c r="G12">
        <f t="shared" si="1"/>
        <v>0.7367499999999999</v>
      </c>
      <c r="H12">
        <f t="shared" si="2"/>
        <v>71050</v>
      </c>
      <c r="I12">
        <f t="shared" si="3"/>
        <v>52346.087499999994</v>
      </c>
      <c r="J12" s="1">
        <f t="shared" si="4"/>
        <v>0.52612499999999984</v>
      </c>
      <c r="K12" s="3">
        <f t="shared" si="5"/>
        <v>116.17925255529536</v>
      </c>
    </row>
    <row r="13" spans="1:11" x14ac:dyDescent="0.2">
      <c r="A13" t="s">
        <v>23</v>
      </c>
      <c r="B13" t="s">
        <v>68</v>
      </c>
      <c r="C13" s="4">
        <v>0.75</v>
      </c>
      <c r="D13" s="5">
        <v>46000</v>
      </c>
      <c r="E13" s="4">
        <v>1.4</v>
      </c>
      <c r="F13">
        <f t="shared" si="0"/>
        <v>34500</v>
      </c>
      <c r="G13">
        <f t="shared" si="1"/>
        <v>0.78937499999999994</v>
      </c>
      <c r="H13">
        <f t="shared" si="2"/>
        <v>64399.999999999993</v>
      </c>
      <c r="I13">
        <f t="shared" si="3"/>
        <v>50835.749999999993</v>
      </c>
      <c r="J13" s="1">
        <f t="shared" si="4"/>
        <v>0.47349999999999981</v>
      </c>
      <c r="K13" s="3">
        <f t="shared" si="5"/>
        <v>110.72512425901063</v>
      </c>
    </row>
    <row r="14" spans="1:11" x14ac:dyDescent="0.2">
      <c r="A14" t="s">
        <v>24</v>
      </c>
      <c r="B14" t="s">
        <v>64</v>
      </c>
      <c r="C14" s="4">
        <v>2.2000000000000002</v>
      </c>
      <c r="D14" s="5">
        <v>88000</v>
      </c>
      <c r="E14" s="4">
        <v>1.6</v>
      </c>
      <c r="F14">
        <f t="shared" si="0"/>
        <v>193600.00000000003</v>
      </c>
      <c r="G14">
        <f t="shared" si="1"/>
        <v>2.3155000000000001</v>
      </c>
      <c r="H14">
        <f t="shared" si="2"/>
        <v>140800</v>
      </c>
      <c r="I14">
        <f t="shared" si="3"/>
        <v>326022.40000000002</v>
      </c>
      <c r="J14" s="1">
        <f t="shared" si="4"/>
        <v>0.68399999999999983</v>
      </c>
      <c r="K14" s="3">
        <f t="shared" si="5"/>
        <v>550.2800524674077</v>
      </c>
    </row>
    <row r="15" spans="1:11" x14ac:dyDescent="0.2">
      <c r="A15" t="s">
        <v>25</v>
      </c>
      <c r="B15" t="s">
        <v>64</v>
      </c>
      <c r="C15" s="4">
        <v>1.1499999999999999</v>
      </c>
      <c r="D15" s="5">
        <v>48000</v>
      </c>
      <c r="E15" s="4">
        <v>1.45</v>
      </c>
      <c r="F15">
        <f t="shared" si="0"/>
        <v>55199.999999999993</v>
      </c>
      <c r="G15">
        <f t="shared" si="1"/>
        <v>1.210375</v>
      </c>
      <c r="H15">
        <f t="shared" si="2"/>
        <v>69600</v>
      </c>
      <c r="I15">
        <f t="shared" si="3"/>
        <v>84242.099999999991</v>
      </c>
      <c r="J15" s="1">
        <f t="shared" si="4"/>
        <v>0.52612500000000006</v>
      </c>
      <c r="K15" s="3">
        <f t="shared" si="5"/>
        <v>164.38986870621815</v>
      </c>
    </row>
    <row r="16" spans="1:11" x14ac:dyDescent="0.2">
      <c r="A16" t="s">
        <v>26</v>
      </c>
      <c r="B16" t="s">
        <v>65</v>
      </c>
      <c r="C16" s="4">
        <v>0.55000000000000004</v>
      </c>
      <c r="D16" s="5">
        <v>51000</v>
      </c>
      <c r="E16" s="4">
        <v>1.35</v>
      </c>
      <c r="F16">
        <f t="shared" si="0"/>
        <v>28050.000000000004</v>
      </c>
      <c r="G16">
        <f t="shared" si="1"/>
        <v>0.57887500000000003</v>
      </c>
      <c r="H16">
        <f t="shared" si="2"/>
        <v>68850</v>
      </c>
      <c r="I16">
        <f t="shared" si="3"/>
        <v>39855.543750000004</v>
      </c>
      <c r="J16" s="1">
        <f t="shared" si="4"/>
        <v>0.42087499999999994</v>
      </c>
      <c r="K16" s="3">
        <f t="shared" si="5"/>
        <v>94.685584134875782</v>
      </c>
    </row>
    <row r="17" spans="1:11" x14ac:dyDescent="0.2">
      <c r="A17" t="s">
        <v>27</v>
      </c>
      <c r="B17" t="s">
        <v>66</v>
      </c>
      <c r="C17" s="4">
        <v>0.35</v>
      </c>
      <c r="D17" s="5">
        <v>31000</v>
      </c>
      <c r="E17" s="4">
        <v>1.3</v>
      </c>
      <c r="F17">
        <f t="shared" si="0"/>
        <v>10850</v>
      </c>
      <c r="G17">
        <f t="shared" si="1"/>
        <v>0.36837499999999995</v>
      </c>
      <c r="H17">
        <f t="shared" si="2"/>
        <v>40300</v>
      </c>
      <c r="I17">
        <f t="shared" si="3"/>
        <v>14845.512499999999</v>
      </c>
      <c r="J17" s="1">
        <f t="shared" si="4"/>
        <v>0.36824999999999991</v>
      </c>
      <c r="K17" s="3">
        <f t="shared" si="5"/>
        <v>40.447421214574817</v>
      </c>
    </row>
    <row r="18" spans="1:11" x14ac:dyDescent="0.2">
      <c r="A18" t="s">
        <v>28</v>
      </c>
      <c r="B18" t="s">
        <v>67</v>
      </c>
      <c r="C18" s="4">
        <v>0.9</v>
      </c>
      <c r="D18" s="5">
        <v>44000</v>
      </c>
      <c r="E18" s="4">
        <v>1.4</v>
      </c>
      <c r="F18">
        <f t="shared" si="0"/>
        <v>39600</v>
      </c>
      <c r="G18">
        <f t="shared" si="1"/>
        <v>0.94725000000000004</v>
      </c>
      <c r="H18">
        <f t="shared" si="2"/>
        <v>61599.999999999993</v>
      </c>
      <c r="I18">
        <f t="shared" si="3"/>
        <v>58350.6</v>
      </c>
      <c r="J18" s="1">
        <f t="shared" si="4"/>
        <v>0.47349999999999998</v>
      </c>
      <c r="K18" s="3">
        <f t="shared" si="5"/>
        <v>121.10370845249098</v>
      </c>
    </row>
    <row r="19" spans="1:11" x14ac:dyDescent="0.2">
      <c r="A19" t="s">
        <v>29</v>
      </c>
      <c r="B19" t="s">
        <v>67</v>
      </c>
      <c r="C19" s="4">
        <v>0.85</v>
      </c>
      <c r="D19" s="5">
        <v>39000</v>
      </c>
      <c r="E19" s="4">
        <v>1.38</v>
      </c>
      <c r="F19">
        <f t="shared" si="0"/>
        <v>33150</v>
      </c>
      <c r="G19">
        <f t="shared" si="1"/>
        <v>0.894625</v>
      </c>
      <c r="H19">
        <f t="shared" si="2"/>
        <v>53819.999999999993</v>
      </c>
      <c r="I19">
        <f t="shared" si="3"/>
        <v>48148.717499999992</v>
      </c>
      <c r="J19" s="1">
        <f t="shared" si="4"/>
        <v>0.45244999999999974</v>
      </c>
      <c r="K19" s="3">
        <f t="shared" si="5"/>
        <v>101.43144313388325</v>
      </c>
    </row>
    <row r="20" spans="1:11" x14ac:dyDescent="0.2">
      <c r="A20" t="s">
        <v>30</v>
      </c>
      <c r="B20" t="s">
        <v>67</v>
      </c>
      <c r="C20" s="4">
        <v>0.85</v>
      </c>
      <c r="D20" s="5">
        <v>43000</v>
      </c>
      <c r="E20" s="4">
        <v>1.42</v>
      </c>
      <c r="F20">
        <f t="shared" si="0"/>
        <v>36550</v>
      </c>
      <c r="G20">
        <f t="shared" si="1"/>
        <v>0.894625</v>
      </c>
      <c r="H20">
        <f t="shared" si="2"/>
        <v>61060</v>
      </c>
      <c r="I20">
        <f t="shared" si="3"/>
        <v>54625.802499999998</v>
      </c>
      <c r="J20" s="1">
        <f t="shared" si="4"/>
        <v>0.49454999999999993</v>
      </c>
      <c r="K20" s="3">
        <f t="shared" si="5"/>
        <v>115.07625265245099</v>
      </c>
    </row>
    <row r="21" spans="1:11" x14ac:dyDescent="0.2">
      <c r="A21" t="s">
        <v>31</v>
      </c>
      <c r="B21" t="s">
        <v>67</v>
      </c>
      <c r="C21" s="4">
        <v>0.65</v>
      </c>
      <c r="D21" s="5">
        <v>36000</v>
      </c>
      <c r="E21" s="4">
        <v>1.35</v>
      </c>
      <c r="F21">
        <f t="shared" si="0"/>
        <v>23400</v>
      </c>
      <c r="G21">
        <f t="shared" si="1"/>
        <v>0.68412499999999998</v>
      </c>
      <c r="H21">
        <f t="shared" si="2"/>
        <v>48600</v>
      </c>
      <c r="I21">
        <f t="shared" si="3"/>
        <v>33248.474999999999</v>
      </c>
      <c r="J21" s="1">
        <f t="shared" si="4"/>
        <v>0.42087499999999994</v>
      </c>
      <c r="K21" s="3">
        <f t="shared" si="5"/>
        <v>75.323678388906373</v>
      </c>
    </row>
    <row r="22" spans="1:11" x14ac:dyDescent="0.2">
      <c r="A22" t="s">
        <v>32</v>
      </c>
      <c r="B22" t="s">
        <v>69</v>
      </c>
      <c r="C22" s="4">
        <v>1.1000000000000001</v>
      </c>
      <c r="D22" s="5">
        <v>47000</v>
      </c>
      <c r="E22" s="4">
        <v>1.5</v>
      </c>
      <c r="F22">
        <f t="shared" si="0"/>
        <v>51700.000000000007</v>
      </c>
      <c r="G22">
        <f t="shared" si="1"/>
        <v>1.1577500000000001</v>
      </c>
      <c r="H22">
        <f t="shared" si="2"/>
        <v>70500</v>
      </c>
      <c r="I22">
        <f t="shared" si="3"/>
        <v>81621.375</v>
      </c>
      <c r="J22" s="1">
        <f t="shared" si="4"/>
        <v>0.57874999999999976</v>
      </c>
      <c r="K22" s="3">
        <f t="shared" si="5"/>
        <v>161.02105205173254</v>
      </c>
    </row>
    <row r="23" spans="1:11" x14ac:dyDescent="0.2">
      <c r="A23" t="s">
        <v>33</v>
      </c>
      <c r="B23" t="s">
        <v>64</v>
      </c>
      <c r="C23" s="4">
        <v>2.1</v>
      </c>
      <c r="D23" s="5">
        <v>82000</v>
      </c>
      <c r="E23" s="4">
        <v>1.58</v>
      </c>
      <c r="F23">
        <f t="shared" si="0"/>
        <v>172200</v>
      </c>
      <c r="G23">
        <f t="shared" si="1"/>
        <v>2.2102500000000003</v>
      </c>
      <c r="H23">
        <f t="shared" si="2"/>
        <v>129560</v>
      </c>
      <c r="I23">
        <f t="shared" si="3"/>
        <v>286359.99000000005</v>
      </c>
      <c r="J23" s="1">
        <f t="shared" si="4"/>
        <v>0.66295000000000026</v>
      </c>
      <c r="K23" s="3">
        <f t="shared" si="5"/>
        <v>487.97082258894312</v>
      </c>
    </row>
    <row r="24" spans="1:11" x14ac:dyDescent="0.2">
      <c r="A24" t="s">
        <v>34</v>
      </c>
      <c r="B24" t="s">
        <v>69</v>
      </c>
      <c r="C24" s="4">
        <v>0.45</v>
      </c>
      <c r="D24" s="5">
        <v>35000</v>
      </c>
      <c r="E24" s="4">
        <v>1.35</v>
      </c>
      <c r="F24">
        <f t="shared" si="0"/>
        <v>15750</v>
      </c>
      <c r="G24">
        <f t="shared" si="1"/>
        <v>0.47362500000000002</v>
      </c>
      <c r="H24">
        <f t="shared" si="2"/>
        <v>47250</v>
      </c>
      <c r="I24">
        <f t="shared" si="3"/>
        <v>22378.78125</v>
      </c>
      <c r="J24" s="1">
        <f t="shared" si="4"/>
        <v>0.420875</v>
      </c>
      <c r="K24" s="3">
        <f t="shared" si="5"/>
        <v>56.415003131729073</v>
      </c>
    </row>
    <row r="25" spans="1:11" x14ac:dyDescent="0.2">
      <c r="A25" t="s">
        <v>35</v>
      </c>
      <c r="B25" t="s">
        <v>68</v>
      </c>
      <c r="C25" s="4">
        <v>0.8</v>
      </c>
      <c r="D25" s="5">
        <v>48000</v>
      </c>
      <c r="E25" s="4">
        <v>1.42</v>
      </c>
      <c r="F25">
        <f t="shared" si="0"/>
        <v>38400</v>
      </c>
      <c r="G25">
        <f t="shared" si="1"/>
        <v>0.84200000000000008</v>
      </c>
      <c r="H25">
        <f t="shared" si="2"/>
        <v>68160</v>
      </c>
      <c r="I25">
        <f t="shared" si="3"/>
        <v>57390.720000000008</v>
      </c>
      <c r="J25" s="1">
        <f t="shared" si="4"/>
        <v>0.49455000000000021</v>
      </c>
      <c r="K25" s="3">
        <f t="shared" si="5"/>
        <v>122.85552094415955</v>
      </c>
    </row>
    <row r="26" spans="1:11" x14ac:dyDescent="0.2">
      <c r="A26" t="s">
        <v>36</v>
      </c>
      <c r="B26" t="s">
        <v>68</v>
      </c>
      <c r="C26" s="4">
        <v>0.75</v>
      </c>
      <c r="D26" s="5">
        <v>52000</v>
      </c>
      <c r="E26" s="4">
        <v>1.45</v>
      </c>
      <c r="F26">
        <f t="shared" si="0"/>
        <v>39000</v>
      </c>
      <c r="G26">
        <f t="shared" si="1"/>
        <v>0.78937499999999994</v>
      </c>
      <c r="H26">
        <f t="shared" si="2"/>
        <v>75400</v>
      </c>
      <c r="I26">
        <f t="shared" si="3"/>
        <v>59518.874999999993</v>
      </c>
      <c r="J26" s="1">
        <f t="shared" si="4"/>
        <v>0.52612499999999984</v>
      </c>
      <c r="K26" s="3">
        <f t="shared" si="5"/>
        <v>129.6378007628789</v>
      </c>
    </row>
    <row r="27" spans="1:11" x14ac:dyDescent="0.2">
      <c r="A27" t="s">
        <v>37</v>
      </c>
      <c r="B27" t="s">
        <v>67</v>
      </c>
      <c r="C27" s="4">
        <v>0.6</v>
      </c>
      <c r="D27" s="5">
        <v>37000</v>
      </c>
      <c r="E27" s="4">
        <v>1.35</v>
      </c>
      <c r="F27">
        <f t="shared" si="0"/>
        <v>22200</v>
      </c>
      <c r="G27">
        <f t="shared" si="1"/>
        <v>0.63149999999999995</v>
      </c>
      <c r="H27">
        <f t="shared" si="2"/>
        <v>49950</v>
      </c>
      <c r="I27">
        <f t="shared" si="3"/>
        <v>31543.424999999999</v>
      </c>
      <c r="J27" s="1">
        <f t="shared" si="4"/>
        <v>0.42087499999999994</v>
      </c>
      <c r="K27" s="3">
        <f t="shared" si="5"/>
        <v>73.090876944441248</v>
      </c>
    </row>
    <row r="28" spans="1:11" x14ac:dyDescent="0.2">
      <c r="A28" t="s">
        <v>38</v>
      </c>
      <c r="B28" t="s">
        <v>67</v>
      </c>
      <c r="C28" s="4">
        <v>0.6</v>
      </c>
      <c r="D28" s="5">
        <v>39000</v>
      </c>
      <c r="E28" s="4">
        <v>1.35</v>
      </c>
      <c r="F28">
        <f t="shared" si="0"/>
        <v>23400</v>
      </c>
      <c r="G28">
        <f t="shared" si="1"/>
        <v>0.63149999999999995</v>
      </c>
      <c r="H28">
        <f t="shared" si="2"/>
        <v>52650</v>
      </c>
      <c r="I28">
        <f t="shared" si="3"/>
        <v>33248.474999999999</v>
      </c>
      <c r="J28" s="1">
        <f t="shared" si="4"/>
        <v>0.42087499999999994</v>
      </c>
      <c r="K28" s="3">
        <f t="shared" si="5"/>
        <v>77.041735157654287</v>
      </c>
    </row>
    <row r="29" spans="1:11" x14ac:dyDescent="0.2">
      <c r="A29" t="s">
        <v>39</v>
      </c>
      <c r="B29" t="s">
        <v>64</v>
      </c>
      <c r="C29" s="4">
        <v>1.4</v>
      </c>
      <c r="D29" s="5">
        <v>54000</v>
      </c>
      <c r="E29" s="4">
        <v>1.48</v>
      </c>
      <c r="F29">
        <f t="shared" si="0"/>
        <v>75600</v>
      </c>
      <c r="G29">
        <f t="shared" si="1"/>
        <v>1.4734999999999998</v>
      </c>
      <c r="H29">
        <f t="shared" si="2"/>
        <v>79920</v>
      </c>
      <c r="I29">
        <f t="shared" si="3"/>
        <v>117762.11999999998</v>
      </c>
      <c r="J29" s="1">
        <f t="shared" si="4"/>
        <v>0.55769999999999975</v>
      </c>
      <c r="K29" s="3">
        <f t="shared" si="5"/>
        <v>219.30576984956915</v>
      </c>
    </row>
    <row r="30" spans="1:11" x14ac:dyDescent="0.2">
      <c r="A30" t="s">
        <v>40</v>
      </c>
      <c r="B30" t="s">
        <v>67</v>
      </c>
      <c r="C30" s="4">
        <v>1.05</v>
      </c>
      <c r="D30" s="5">
        <v>46000</v>
      </c>
      <c r="E30" s="4">
        <v>1.45</v>
      </c>
      <c r="F30">
        <f t="shared" si="0"/>
        <v>48300</v>
      </c>
      <c r="G30">
        <f t="shared" si="1"/>
        <v>1.1051250000000001</v>
      </c>
      <c r="H30">
        <f t="shared" si="2"/>
        <v>66700</v>
      </c>
      <c r="I30">
        <f t="shared" si="3"/>
        <v>73711.837500000009</v>
      </c>
      <c r="J30" s="1">
        <f t="shared" si="4"/>
        <v>0.52612500000000018</v>
      </c>
      <c r="K30" s="3">
        <f t="shared" si="5"/>
        <v>147.10468872864547</v>
      </c>
    </row>
    <row r="31" spans="1:11" x14ac:dyDescent="0.2">
      <c r="A31" t="s">
        <v>41</v>
      </c>
      <c r="B31" t="s">
        <v>66</v>
      </c>
      <c r="C31" s="4">
        <v>0.4</v>
      </c>
      <c r="D31" s="5">
        <v>33000</v>
      </c>
      <c r="E31" s="4">
        <v>1.3</v>
      </c>
      <c r="F31">
        <f t="shared" si="0"/>
        <v>13200</v>
      </c>
      <c r="G31">
        <f t="shared" si="1"/>
        <v>0.42100000000000004</v>
      </c>
      <c r="H31">
        <f t="shared" si="2"/>
        <v>42900</v>
      </c>
      <c r="I31">
        <f t="shared" si="3"/>
        <v>18060.900000000001</v>
      </c>
      <c r="J31" s="1">
        <f t="shared" si="4"/>
        <v>0.36825000000000013</v>
      </c>
      <c r="K31" s="3">
        <f t="shared" si="5"/>
        <v>47.196271781513673</v>
      </c>
    </row>
    <row r="32" spans="1:11" x14ac:dyDescent="0.2">
      <c r="A32" t="s">
        <v>42</v>
      </c>
      <c r="B32" t="s">
        <v>67</v>
      </c>
      <c r="C32" s="4">
        <v>0.55000000000000004</v>
      </c>
      <c r="D32" s="5">
        <v>38000</v>
      </c>
      <c r="E32" s="4">
        <v>1.35</v>
      </c>
      <c r="F32">
        <f t="shared" si="0"/>
        <v>20900</v>
      </c>
      <c r="G32">
        <f t="shared" si="1"/>
        <v>0.57887500000000003</v>
      </c>
      <c r="H32">
        <f t="shared" si="2"/>
        <v>51300</v>
      </c>
      <c r="I32">
        <f t="shared" si="3"/>
        <v>29696.287500000002</v>
      </c>
      <c r="J32" s="1">
        <f t="shared" si="4"/>
        <v>0.42087500000000011</v>
      </c>
      <c r="K32" s="3">
        <f t="shared" si="5"/>
        <v>70.550043080887832</v>
      </c>
    </row>
    <row r="33" spans="1:11" x14ac:dyDescent="0.2">
      <c r="A33" t="s">
        <v>43</v>
      </c>
      <c r="B33" t="s">
        <v>66</v>
      </c>
      <c r="C33" s="4">
        <v>0.3</v>
      </c>
      <c r="D33" s="5">
        <v>32000</v>
      </c>
      <c r="E33" s="4">
        <v>1.25</v>
      </c>
      <c r="F33">
        <f t="shared" si="0"/>
        <v>9600</v>
      </c>
      <c r="G33">
        <f t="shared" si="1"/>
        <v>0.31574999999999998</v>
      </c>
      <c r="H33">
        <f t="shared" si="2"/>
        <v>40000</v>
      </c>
      <c r="I33">
        <f t="shared" si="3"/>
        <v>12629.999999999998</v>
      </c>
      <c r="J33" s="1">
        <f t="shared" si="4"/>
        <v>0.31562499999999982</v>
      </c>
      <c r="K33" s="3">
        <f t="shared" si="5"/>
        <v>36.156314323072365</v>
      </c>
    </row>
    <row r="34" spans="1:11" x14ac:dyDescent="0.2">
      <c r="A34" t="s">
        <v>44</v>
      </c>
      <c r="B34" t="s">
        <v>69</v>
      </c>
      <c r="C34" s="4">
        <v>0.45</v>
      </c>
      <c r="D34" s="5">
        <v>36000</v>
      </c>
      <c r="E34" s="4">
        <v>1.35</v>
      </c>
      <c r="F34">
        <f t="shared" si="0"/>
        <v>16200</v>
      </c>
      <c r="G34">
        <f t="shared" si="1"/>
        <v>0.47362500000000002</v>
      </c>
      <c r="H34">
        <f t="shared" si="2"/>
        <v>48600</v>
      </c>
      <c r="I34">
        <f t="shared" si="3"/>
        <v>23018.174999999999</v>
      </c>
      <c r="J34" s="1">
        <f t="shared" si="4"/>
        <v>0.42087499999999994</v>
      </c>
      <c r="K34" s="3">
        <f t="shared" si="5"/>
        <v>58.026860364064184</v>
      </c>
    </row>
    <row r="35" spans="1:11" x14ac:dyDescent="0.2">
      <c r="A35" t="s">
        <v>45</v>
      </c>
      <c r="B35" t="s">
        <v>68</v>
      </c>
      <c r="C35" s="4">
        <v>1.2</v>
      </c>
      <c r="D35" s="5">
        <v>65000</v>
      </c>
      <c r="E35" s="4">
        <v>1.52</v>
      </c>
      <c r="F35">
        <f t="shared" si="0"/>
        <v>78000</v>
      </c>
      <c r="G35">
        <f t="shared" si="1"/>
        <v>1.2629999999999999</v>
      </c>
      <c r="H35">
        <f t="shared" si="2"/>
        <v>98800</v>
      </c>
      <c r="I35">
        <f t="shared" si="3"/>
        <v>124784.4</v>
      </c>
      <c r="J35" s="1">
        <f t="shared" si="4"/>
        <v>0.59979999999999989</v>
      </c>
      <c r="K35" s="3">
        <f t="shared" si="5"/>
        <v>241.00439275597748</v>
      </c>
    </row>
    <row r="36" spans="1:11" x14ac:dyDescent="0.2">
      <c r="A36" t="s">
        <v>46</v>
      </c>
      <c r="B36" t="s">
        <v>66</v>
      </c>
      <c r="C36" s="4">
        <v>0.4</v>
      </c>
      <c r="D36" s="5">
        <v>33000</v>
      </c>
      <c r="E36" s="4">
        <v>1.3</v>
      </c>
      <c r="F36">
        <f t="shared" si="0"/>
        <v>13200</v>
      </c>
      <c r="G36">
        <f t="shared" si="1"/>
        <v>0.42100000000000004</v>
      </c>
      <c r="H36">
        <f t="shared" si="2"/>
        <v>42900</v>
      </c>
      <c r="I36">
        <f t="shared" si="3"/>
        <v>18060.900000000001</v>
      </c>
      <c r="J36" s="1">
        <f t="shared" si="4"/>
        <v>0.36825000000000013</v>
      </c>
      <c r="K36" s="3">
        <f t="shared" si="5"/>
        <v>47.196271781513673</v>
      </c>
    </row>
    <row r="37" spans="1:11" x14ac:dyDescent="0.2">
      <c r="A37" t="s">
        <v>47</v>
      </c>
      <c r="B37" t="s">
        <v>68</v>
      </c>
      <c r="C37" s="4">
        <v>1.25</v>
      </c>
      <c r="D37" s="5">
        <v>69000</v>
      </c>
      <c r="E37" s="4">
        <v>1.55</v>
      </c>
      <c r="F37">
        <f t="shared" si="0"/>
        <v>86250</v>
      </c>
      <c r="G37">
        <f t="shared" si="1"/>
        <v>1.315625</v>
      </c>
      <c r="H37">
        <f t="shared" si="2"/>
        <v>106950</v>
      </c>
      <c r="I37">
        <f t="shared" si="3"/>
        <v>140706.09375</v>
      </c>
      <c r="J37" s="1">
        <f t="shared" si="4"/>
        <v>0.63137500000000002</v>
      </c>
      <c r="K37" s="3">
        <f t="shared" si="5"/>
        <v>269.10729058424766</v>
      </c>
    </row>
    <row r="38" spans="1:11" x14ac:dyDescent="0.2">
      <c r="A38" t="s">
        <v>48</v>
      </c>
      <c r="B38" t="s">
        <v>64</v>
      </c>
      <c r="C38" s="4">
        <v>1.5</v>
      </c>
      <c r="D38" s="5">
        <v>62000</v>
      </c>
      <c r="E38" s="4">
        <v>1.52</v>
      </c>
      <c r="F38">
        <f t="shared" si="0"/>
        <v>93000</v>
      </c>
      <c r="G38">
        <f t="shared" si="1"/>
        <v>1.5787499999999999</v>
      </c>
      <c r="H38">
        <f t="shared" si="2"/>
        <v>94240</v>
      </c>
      <c r="I38">
        <f t="shared" si="3"/>
        <v>148781.4</v>
      </c>
      <c r="J38" s="1">
        <f t="shared" si="4"/>
        <v>0.59979999999999989</v>
      </c>
      <c r="K38" s="3">
        <f t="shared" si="5"/>
        <v>272.72216813159793</v>
      </c>
    </row>
    <row r="39" spans="1:11" x14ac:dyDescent="0.2">
      <c r="A39" t="s">
        <v>49</v>
      </c>
      <c r="B39" t="s">
        <v>67</v>
      </c>
      <c r="C39" s="4">
        <v>0.5</v>
      </c>
      <c r="D39" s="5">
        <v>41000</v>
      </c>
      <c r="E39" s="4">
        <v>1.35</v>
      </c>
      <c r="F39">
        <f t="shared" si="0"/>
        <v>20500</v>
      </c>
      <c r="G39">
        <f t="shared" si="1"/>
        <v>0.52625</v>
      </c>
      <c r="H39">
        <f t="shared" si="2"/>
        <v>55350.000000000007</v>
      </c>
      <c r="I39">
        <f t="shared" si="3"/>
        <v>29127.937500000004</v>
      </c>
      <c r="J39" s="1">
        <f t="shared" si="4"/>
        <v>0.42087500000000017</v>
      </c>
      <c r="K39" s="3">
        <f t="shared" si="5"/>
        <v>71.155664622077779</v>
      </c>
    </row>
    <row r="40" spans="1:11" x14ac:dyDescent="0.2">
      <c r="A40" t="s">
        <v>50</v>
      </c>
      <c r="B40" t="s">
        <v>67</v>
      </c>
      <c r="C40" s="4">
        <v>0.85</v>
      </c>
      <c r="D40" s="5">
        <v>40000</v>
      </c>
      <c r="E40" s="4">
        <v>1.38</v>
      </c>
      <c r="F40">
        <f t="shared" si="0"/>
        <v>34000</v>
      </c>
      <c r="G40">
        <f t="shared" si="1"/>
        <v>0.894625</v>
      </c>
      <c r="H40">
        <f t="shared" si="2"/>
        <v>55199.999999999993</v>
      </c>
      <c r="I40">
        <f t="shared" si="3"/>
        <v>49383.299999999996</v>
      </c>
      <c r="J40" s="1">
        <f t="shared" si="4"/>
        <v>0.45244999999999985</v>
      </c>
      <c r="K40" s="3">
        <f t="shared" si="5"/>
        <v>104.03224936808539</v>
      </c>
    </row>
    <row r="41" spans="1:11" x14ac:dyDescent="0.2">
      <c r="A41" t="s">
        <v>51</v>
      </c>
      <c r="B41" t="s">
        <v>67</v>
      </c>
      <c r="C41" s="4">
        <v>0.8</v>
      </c>
      <c r="D41" s="5">
        <v>42000</v>
      </c>
      <c r="E41" s="4">
        <v>1.4</v>
      </c>
      <c r="F41">
        <f t="shared" si="0"/>
        <v>33600</v>
      </c>
      <c r="G41">
        <f t="shared" si="1"/>
        <v>0.84200000000000008</v>
      </c>
      <c r="H41">
        <f t="shared" si="2"/>
        <v>58799.999999999993</v>
      </c>
      <c r="I41">
        <f t="shared" si="3"/>
        <v>49509.599999999999</v>
      </c>
      <c r="J41" s="1">
        <f t="shared" si="4"/>
        <v>0.47349999999999998</v>
      </c>
      <c r="K41" s="3">
        <f t="shared" si="5"/>
        <v>105.98451630746156</v>
      </c>
    </row>
    <row r="42" spans="1:11" x14ac:dyDescent="0.2">
      <c r="A42" t="s">
        <v>52</v>
      </c>
      <c r="B42" t="s">
        <v>65</v>
      </c>
      <c r="C42" s="4">
        <v>0.6</v>
      </c>
      <c r="D42" s="5">
        <v>44000</v>
      </c>
      <c r="E42" s="4">
        <v>1.45</v>
      </c>
      <c r="F42">
        <f t="shared" si="0"/>
        <v>26400</v>
      </c>
      <c r="G42">
        <f t="shared" si="1"/>
        <v>0.63149999999999995</v>
      </c>
      <c r="H42">
        <f t="shared" si="2"/>
        <v>63800</v>
      </c>
      <c r="I42">
        <f t="shared" si="3"/>
        <v>40289.699999999997</v>
      </c>
      <c r="J42" s="1">
        <f t="shared" si="4"/>
        <v>0.52612499999999984</v>
      </c>
      <c r="K42" s="3">
        <f t="shared" si="5"/>
        <v>93.357316297404424</v>
      </c>
    </row>
    <row r="43" spans="1:11" x14ac:dyDescent="0.2">
      <c r="A43" t="s">
        <v>53</v>
      </c>
      <c r="B43" t="s">
        <v>69</v>
      </c>
      <c r="C43" s="4">
        <v>1.1499999999999999</v>
      </c>
      <c r="D43" s="5">
        <v>53000</v>
      </c>
      <c r="E43" s="4">
        <v>1.48</v>
      </c>
      <c r="F43">
        <f t="shared" si="0"/>
        <v>60949.999999999993</v>
      </c>
      <c r="G43">
        <f t="shared" si="1"/>
        <v>1.210375</v>
      </c>
      <c r="H43">
        <f t="shared" si="2"/>
        <v>78440</v>
      </c>
      <c r="I43">
        <f t="shared" si="3"/>
        <v>94941.815000000002</v>
      </c>
      <c r="J43" s="1">
        <f t="shared" si="4"/>
        <v>0.5577000000000002</v>
      </c>
      <c r="K43" s="3">
        <f t="shared" si="5"/>
        <v>185.26927157062863</v>
      </c>
    </row>
    <row r="44" spans="1:11" x14ac:dyDescent="0.2">
      <c r="A44" t="s">
        <v>54</v>
      </c>
      <c r="B44" t="s">
        <v>68</v>
      </c>
      <c r="C44" s="4">
        <v>0.55000000000000004</v>
      </c>
      <c r="D44" s="5">
        <v>47000</v>
      </c>
      <c r="E44" s="4">
        <v>1.4</v>
      </c>
      <c r="F44">
        <f t="shared" si="0"/>
        <v>25850.000000000004</v>
      </c>
      <c r="G44">
        <f t="shared" si="1"/>
        <v>0.57887500000000003</v>
      </c>
      <c r="H44">
        <f t="shared" si="2"/>
        <v>65800</v>
      </c>
      <c r="I44">
        <f t="shared" si="3"/>
        <v>38089.974999999999</v>
      </c>
      <c r="J44" s="1">
        <f t="shared" si="4"/>
        <v>0.47349999999999975</v>
      </c>
      <c r="K44" s="3">
        <f t="shared" si="5"/>
        <v>90.491088396148527</v>
      </c>
    </row>
    <row r="45" spans="1:11" x14ac:dyDescent="0.2">
      <c r="A45" t="s">
        <v>55</v>
      </c>
      <c r="B45" t="s">
        <v>64</v>
      </c>
      <c r="C45" s="4">
        <v>1.35</v>
      </c>
      <c r="D45" s="5">
        <v>58000</v>
      </c>
      <c r="E45" s="4">
        <v>1.5</v>
      </c>
      <c r="F45">
        <f t="shared" si="0"/>
        <v>78300</v>
      </c>
      <c r="G45">
        <f t="shared" si="1"/>
        <v>1.4208750000000001</v>
      </c>
      <c r="H45">
        <f t="shared" si="2"/>
        <v>87000</v>
      </c>
      <c r="I45">
        <f t="shared" si="3"/>
        <v>123616.12500000001</v>
      </c>
      <c r="J45" s="1">
        <f t="shared" si="4"/>
        <v>0.57875000000000021</v>
      </c>
      <c r="K45" s="3">
        <f t="shared" si="5"/>
        <v>232.16352197196363</v>
      </c>
    </row>
    <row r="46" spans="1:11" x14ac:dyDescent="0.2">
      <c r="A46" t="s">
        <v>56</v>
      </c>
      <c r="B46" t="s">
        <v>67</v>
      </c>
      <c r="C46" s="4">
        <v>0.45</v>
      </c>
      <c r="D46" s="5">
        <v>35000</v>
      </c>
      <c r="E46" s="4">
        <v>1.32</v>
      </c>
      <c r="F46">
        <f t="shared" si="0"/>
        <v>15750</v>
      </c>
      <c r="G46">
        <f t="shared" si="1"/>
        <v>0.47362500000000002</v>
      </c>
      <c r="H46">
        <f t="shared" si="2"/>
        <v>46200</v>
      </c>
      <c r="I46">
        <f t="shared" si="3"/>
        <v>21881.475000000002</v>
      </c>
      <c r="J46" s="1">
        <f t="shared" si="4"/>
        <v>0.38930000000000015</v>
      </c>
      <c r="K46" s="3">
        <f t="shared" si="5"/>
        <v>55.161336395468425</v>
      </c>
    </row>
    <row r="47" spans="1:11" x14ac:dyDescent="0.2">
      <c r="A47" t="s">
        <v>57</v>
      </c>
      <c r="B47" t="s">
        <v>69</v>
      </c>
      <c r="C47" s="4">
        <v>1.05</v>
      </c>
      <c r="D47" s="5">
        <v>46000</v>
      </c>
      <c r="E47" s="4">
        <v>1.45</v>
      </c>
      <c r="F47">
        <f t="shared" si="0"/>
        <v>48300</v>
      </c>
      <c r="G47">
        <f t="shared" si="1"/>
        <v>1.1051250000000001</v>
      </c>
      <c r="H47">
        <f t="shared" si="2"/>
        <v>66700</v>
      </c>
      <c r="I47">
        <f t="shared" si="3"/>
        <v>73711.837500000009</v>
      </c>
      <c r="J47" s="1">
        <f t="shared" si="4"/>
        <v>0.52612500000000018</v>
      </c>
      <c r="K47" s="3">
        <f t="shared" si="5"/>
        <v>147.10468872864547</v>
      </c>
    </row>
    <row r="48" spans="1:11" x14ac:dyDescent="0.2">
      <c r="A48" t="s">
        <v>0</v>
      </c>
      <c r="B48" t="s">
        <v>64</v>
      </c>
      <c r="C48" s="4">
        <v>1.7</v>
      </c>
      <c r="D48" s="5">
        <v>72000</v>
      </c>
      <c r="E48" s="4">
        <v>1.55</v>
      </c>
      <c r="F48">
        <f t="shared" si="0"/>
        <v>122400</v>
      </c>
      <c r="G48">
        <f t="shared" si="1"/>
        <v>1.78925</v>
      </c>
      <c r="H48">
        <f t="shared" si="2"/>
        <v>111600</v>
      </c>
      <c r="I48">
        <f t="shared" si="3"/>
        <v>199680.3</v>
      </c>
      <c r="J48" s="1">
        <f t="shared" si="4"/>
        <v>0.63137499999999991</v>
      </c>
      <c r="K48" s="3">
        <f t="shared" si="5"/>
        <v>355.93098563083009</v>
      </c>
    </row>
    <row r="49" spans="1:11" x14ac:dyDescent="0.2">
      <c r="A49" t="s">
        <v>58</v>
      </c>
      <c r="B49" t="s">
        <v>66</v>
      </c>
      <c r="C49" s="4">
        <v>0.3</v>
      </c>
      <c r="D49" s="5">
        <v>30000</v>
      </c>
      <c r="E49" s="4">
        <v>1.25</v>
      </c>
      <c r="F49">
        <f t="shared" si="0"/>
        <v>9000</v>
      </c>
      <c r="G49">
        <f t="shared" si="1"/>
        <v>0.31574999999999998</v>
      </c>
      <c r="H49">
        <f t="shared" si="2"/>
        <v>37500</v>
      </c>
      <c r="I49">
        <f t="shared" si="3"/>
        <v>11840.624999999998</v>
      </c>
      <c r="J49" s="1">
        <f t="shared" si="4"/>
        <v>0.31562499999999982</v>
      </c>
      <c r="K49" s="3">
        <f t="shared" si="5"/>
        <v>33.896544677880335</v>
      </c>
    </row>
    <row r="50" spans="1:11" x14ac:dyDescent="0.2">
      <c r="A50" t="s">
        <v>59</v>
      </c>
      <c r="B50" t="s">
        <v>69</v>
      </c>
      <c r="C50" s="4">
        <v>0.7</v>
      </c>
      <c r="D50" s="5">
        <v>49000</v>
      </c>
      <c r="E50" s="4">
        <v>1.55</v>
      </c>
      <c r="F50">
        <f t="shared" si="0"/>
        <v>34300</v>
      </c>
      <c r="G50">
        <f t="shared" si="1"/>
        <v>0.7367499999999999</v>
      </c>
      <c r="H50">
        <f t="shared" si="2"/>
        <v>75950</v>
      </c>
      <c r="I50">
        <f t="shared" si="3"/>
        <v>55956.162499999991</v>
      </c>
      <c r="J50" s="1">
        <f t="shared" si="4"/>
        <v>0.6313749999999998</v>
      </c>
      <c r="K50" s="3">
        <f t="shared" si="5"/>
        <v>124.19161480048814</v>
      </c>
    </row>
    <row r="51" spans="1:11" x14ac:dyDescent="0.2">
      <c r="A51" t="s">
        <v>60</v>
      </c>
      <c r="B51" t="s">
        <v>68</v>
      </c>
      <c r="C51" s="4">
        <v>1</v>
      </c>
      <c r="D51" s="5">
        <v>50000</v>
      </c>
      <c r="E51" s="4">
        <v>1.45</v>
      </c>
      <c r="F51">
        <f t="shared" si="0"/>
        <v>50000</v>
      </c>
      <c r="G51">
        <f t="shared" si="1"/>
        <v>1.0525</v>
      </c>
      <c r="H51">
        <f t="shared" si="2"/>
        <v>72500</v>
      </c>
      <c r="I51">
        <f t="shared" si="3"/>
        <v>76306.25</v>
      </c>
      <c r="J51" s="1">
        <f t="shared" si="4"/>
        <v>0.52612499999999995</v>
      </c>
      <c r="K51" s="3">
        <f t="shared" si="5"/>
        <v>154.158520508626</v>
      </c>
    </row>
    <row r="52" spans="1:11" x14ac:dyDescent="0.2">
      <c r="A52" t="s">
        <v>2</v>
      </c>
      <c r="B52" t="s">
        <v>65</v>
      </c>
      <c r="C52" s="4">
        <v>0.7</v>
      </c>
      <c r="D52" s="5">
        <v>46000</v>
      </c>
      <c r="E52" s="4">
        <v>1.5</v>
      </c>
      <c r="F52">
        <f t="shared" si="0"/>
        <v>32199.999999999996</v>
      </c>
      <c r="G52">
        <f t="shared" si="1"/>
        <v>0.7367499999999999</v>
      </c>
      <c r="H52">
        <f t="shared" si="2"/>
        <v>69000</v>
      </c>
      <c r="I52">
        <f t="shared" si="3"/>
        <v>50835.749999999993</v>
      </c>
      <c r="J52" s="1">
        <f t="shared" si="4"/>
        <v>0.57874999999999999</v>
      </c>
      <c r="K52" s="3">
        <f t="shared" si="5"/>
        <v>112.82714182006164</v>
      </c>
    </row>
    <row r="53" spans="1:11" x14ac:dyDescent="0.2">
      <c r="A53" t="s">
        <v>61</v>
      </c>
      <c r="B53" t="s">
        <v>69</v>
      </c>
      <c r="C53" s="4">
        <v>1.05</v>
      </c>
      <c r="D53" s="5">
        <v>45000</v>
      </c>
      <c r="E53" s="4">
        <v>1.48</v>
      </c>
      <c r="F53">
        <f t="shared" si="0"/>
        <v>47250</v>
      </c>
      <c r="G53">
        <f t="shared" si="1"/>
        <v>1.1051250000000001</v>
      </c>
      <c r="H53">
        <f t="shared" si="2"/>
        <v>66600</v>
      </c>
      <c r="I53">
        <f t="shared" si="3"/>
        <v>73601.325000000012</v>
      </c>
      <c r="J53" s="1">
        <f t="shared" si="4"/>
        <v>0.5577000000000002</v>
      </c>
      <c r="K53" s="3">
        <f t="shared" si="5"/>
        <v>146.88414196893237</v>
      </c>
    </row>
    <row r="54" spans="1:11" x14ac:dyDescent="0.2">
      <c r="A54" t="s">
        <v>63</v>
      </c>
      <c r="B54" t="s">
        <v>67</v>
      </c>
      <c r="C54" s="4">
        <v>0.6</v>
      </c>
      <c r="D54" s="5">
        <v>38000</v>
      </c>
      <c r="E54" s="4">
        <v>1.35</v>
      </c>
      <c r="F54">
        <f t="shared" si="0"/>
        <v>22800</v>
      </c>
      <c r="G54">
        <f t="shared" si="1"/>
        <v>0.63149999999999995</v>
      </c>
      <c r="H54">
        <f t="shared" si="2"/>
        <v>51300</v>
      </c>
      <c r="I54">
        <f t="shared" si="3"/>
        <v>32395.949999999997</v>
      </c>
      <c r="J54" s="1">
        <f t="shared" si="4"/>
        <v>0.42087499999999989</v>
      </c>
      <c r="K54" s="3">
        <f t="shared" si="5"/>
        <v>75.066306051047761</v>
      </c>
    </row>
    <row r="55" spans="1:11" x14ac:dyDescent="0.2">
      <c r="A55" t="s">
        <v>62</v>
      </c>
      <c r="B55" t="s">
        <v>69</v>
      </c>
      <c r="C55" s="4">
        <v>0.3</v>
      </c>
      <c r="D55" s="5">
        <v>29000</v>
      </c>
      <c r="E55" s="4">
        <v>1.25</v>
      </c>
      <c r="F55">
        <f t="shared" si="0"/>
        <v>8700</v>
      </c>
      <c r="G55">
        <f t="shared" si="1"/>
        <v>0.31574999999999998</v>
      </c>
      <c r="H55">
        <f t="shared" si="2"/>
        <v>36250</v>
      </c>
      <c r="I55">
        <f t="shared" si="3"/>
        <v>11445.9375</v>
      </c>
      <c r="J55" s="1">
        <f t="shared" si="4"/>
        <v>0.31562499999999999</v>
      </c>
      <c r="K55" s="3">
        <f t="shared" si="5"/>
        <v>32.766659855284338</v>
      </c>
    </row>
    <row r="56" spans="1:11" x14ac:dyDescent="0.2">
      <c r="A56" s="7" t="s">
        <v>70</v>
      </c>
      <c r="F56">
        <f>SUM(F6:F55)</f>
        <v>2178650</v>
      </c>
      <c r="I56">
        <f>SUM(I6:I55)</f>
        <v>3379444.3587500001</v>
      </c>
      <c r="J56" s="1">
        <f>(I56-F56)/F56</f>
        <v>0.55116441775870384</v>
      </c>
      <c r="K56" s="3">
        <f>SUM(K6:K55)</f>
        <v>6784.8967515755703</v>
      </c>
    </row>
  </sheetData>
  <dataValidations count="3">
    <dataValidation type="list" allowBlank="1" showInputMessage="1" showErrorMessage="1" sqref="B6:B55" xr:uid="{10B0761B-AF88-724D-A6F9-4BFBD42CB8E9}">
      <formula1>"Tropical and Hurricane Surge, Coastal Surge, Pacific atmospheric River, Appalaichan Flash, Interior river basin, Arid Monsoon &amp; Snowmelt"</formula1>
    </dataValidation>
    <dataValidation type="list" allowBlank="1" showInputMessage="1" showErrorMessage="1" sqref="C2" xr:uid="{CA3DAA29-F2AA-E541-B7F9-D02FDE30FEEC}">
      <formula1>".5,1,1.5,2,2.5,3"</formula1>
    </dataValidation>
    <dataValidation type="list" allowBlank="1" showInputMessage="1" showErrorMessage="1" sqref="C4" xr:uid="{B981B741-346F-DC46-8876-D012DBD8189E}">
      <formula1>"1,1.2,1.5,1.8,2"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5827-A0BE-6349-834A-E9B92ED9EB71}">
  <dimension ref="A1:F51"/>
  <sheetViews>
    <sheetView workbookViewId="0">
      <selection activeCell="G21" sqref="G21"/>
    </sheetView>
  </sheetViews>
  <sheetFormatPr baseColWidth="10" defaultRowHeight="16" x14ac:dyDescent="0.2"/>
  <cols>
    <col min="2" max="2" width="26.5" customWidth="1"/>
    <col min="3" max="3" width="25.1640625" customWidth="1"/>
    <col min="4" max="4" width="24" customWidth="1"/>
    <col min="5" max="5" width="21.33203125" customWidth="1"/>
    <col min="6" max="6" width="27.33203125" style="6" customWidth="1"/>
  </cols>
  <sheetData>
    <row r="1" spans="1:6" x14ac:dyDescent="0.2">
      <c r="A1" s="8" t="s">
        <v>6</v>
      </c>
      <c r="B1" s="8" t="s">
        <v>71</v>
      </c>
      <c r="C1" s="8" t="s">
        <v>72</v>
      </c>
      <c r="D1" s="8" t="s">
        <v>73</v>
      </c>
      <c r="E1" s="8" t="s">
        <v>74</v>
      </c>
      <c r="F1" s="10" t="s">
        <v>78</v>
      </c>
    </row>
    <row r="2" spans="1:6" x14ac:dyDescent="0.2">
      <c r="A2" s="8" t="s">
        <v>17</v>
      </c>
      <c r="B2" s="9">
        <v>68886.42</v>
      </c>
      <c r="C2" s="9">
        <v>114000.16</v>
      </c>
      <c r="D2" s="9">
        <v>510.9</v>
      </c>
      <c r="E2" s="9">
        <v>623.4</v>
      </c>
      <c r="F2" s="6">
        <f>(D2 - Flood_Pricing_Model_State!K6)/Flood_Pricing_Model_State!K6</f>
        <v>1.6135411297110758</v>
      </c>
    </row>
    <row r="3" spans="1:6" x14ac:dyDescent="0.2">
      <c r="A3" s="8" t="s">
        <v>18</v>
      </c>
      <c r="B3" s="9">
        <v>15039.1</v>
      </c>
      <c r="C3" s="9">
        <v>23686.16</v>
      </c>
      <c r="D3" s="9">
        <v>187.8</v>
      </c>
      <c r="E3" s="9">
        <v>245.3</v>
      </c>
      <c r="F3" s="6">
        <f>(D3 - Flood_Pricing_Model_State!K7)/Flood_Pricing_Model_State!K7</f>
        <v>2.3275747612872295</v>
      </c>
    </row>
    <row r="4" spans="1:6" x14ac:dyDescent="0.2">
      <c r="A4" s="8" t="s">
        <v>19</v>
      </c>
      <c r="B4" s="9">
        <v>15287.51</v>
      </c>
      <c r="C4" s="9">
        <v>23308.46</v>
      </c>
      <c r="D4" s="9">
        <v>177.3</v>
      </c>
      <c r="E4" s="9">
        <v>233.4</v>
      </c>
      <c r="F4" s="6">
        <f>(D4 - Flood_Pricing_Model_State!K8)/Flood_Pricing_Model_State!K8</f>
        <v>2.359647110536895</v>
      </c>
    </row>
    <row r="5" spans="1:6" x14ac:dyDescent="0.2">
      <c r="A5" s="8" t="s">
        <v>20</v>
      </c>
      <c r="B5" s="9">
        <v>39124.519999999997</v>
      </c>
      <c r="C5" s="9">
        <v>63962.28</v>
      </c>
      <c r="D5" s="9">
        <v>324.5</v>
      </c>
      <c r="E5" s="9">
        <v>401</v>
      </c>
      <c r="F5" s="6">
        <f>(D5 - Flood_Pricing_Model_State!K9)/Flood_Pricing_Model_State!K9</f>
        <v>1.7624156573575662</v>
      </c>
    </row>
    <row r="6" spans="1:6" x14ac:dyDescent="0.2">
      <c r="A6" s="8" t="s">
        <v>1</v>
      </c>
      <c r="B6" s="9">
        <v>44483.79</v>
      </c>
      <c r="C6" s="9">
        <v>79831.740000000005</v>
      </c>
      <c r="D6" s="9">
        <v>483.4</v>
      </c>
      <c r="E6" s="9">
        <v>604.20000000000005</v>
      </c>
      <c r="F6" s="6">
        <f>(D6 - Flood_Pricing_Model_State!K10)/Flood_Pricing_Model_State!K10</f>
        <v>1.9591759184863931</v>
      </c>
    </row>
    <row r="7" spans="1:6" x14ac:dyDescent="0.2">
      <c r="A7" s="8" t="s">
        <v>21</v>
      </c>
      <c r="B7" s="9">
        <v>21067.119999999999</v>
      </c>
      <c r="C7" s="9">
        <v>32421.41</v>
      </c>
      <c r="D7" s="9">
        <v>235.8</v>
      </c>
      <c r="E7" s="9">
        <v>288</v>
      </c>
      <c r="F7" s="6">
        <f>(D7 - Flood_Pricing_Model_State!K11)/Flood_Pricing_Model_State!K11</f>
        <v>2.2349597956575558</v>
      </c>
    </row>
    <row r="8" spans="1:6" x14ac:dyDescent="0.2">
      <c r="A8" s="8" t="s">
        <v>75</v>
      </c>
      <c r="B8" s="9">
        <v>34917.93</v>
      </c>
      <c r="C8" s="9">
        <v>56535.51</v>
      </c>
      <c r="D8" s="9">
        <v>340.9</v>
      </c>
      <c r="E8" s="9">
        <v>421.5</v>
      </c>
      <c r="F8" s="6">
        <f>(D8 - Flood_Pricing_Model_State!K12)/Flood_Pricing_Model_State!K12</f>
        <v>1.9342588500278832</v>
      </c>
    </row>
    <row r="9" spans="1:6" x14ac:dyDescent="0.2">
      <c r="A9" s="8" t="s">
        <v>23</v>
      </c>
      <c r="B9" s="9">
        <v>34445.480000000003</v>
      </c>
      <c r="C9" s="9">
        <v>55339.07</v>
      </c>
      <c r="D9" s="9">
        <v>310</v>
      </c>
      <c r="E9" s="9">
        <v>385.8</v>
      </c>
      <c r="F9" s="6">
        <f>(D9 - Flood_Pricing_Model_State!K13)/Flood_Pricing_Model_State!K13</f>
        <v>1.7997259165394228</v>
      </c>
    </row>
    <row r="10" spans="1:6" x14ac:dyDescent="0.2">
      <c r="A10" s="8" t="s">
        <v>24</v>
      </c>
      <c r="B10" s="9">
        <v>191912.06</v>
      </c>
      <c r="C10" s="9">
        <v>360779.6</v>
      </c>
      <c r="D10" s="9">
        <v>1197.4000000000001</v>
      </c>
      <c r="E10" s="9">
        <v>1360.4</v>
      </c>
      <c r="F10" s="6">
        <f>(D10 - Flood_Pricing_Model_State!K14)/Flood_Pricing_Model_State!K14</f>
        <v>1.1759829283852159</v>
      </c>
    </row>
    <row r="11" spans="1:6" x14ac:dyDescent="0.2">
      <c r="A11" s="8" t="s">
        <v>25</v>
      </c>
      <c r="B11" s="9">
        <v>56377.84</v>
      </c>
      <c r="C11" s="9">
        <v>90532.61</v>
      </c>
      <c r="D11" s="9">
        <v>415</v>
      </c>
      <c r="E11" s="9">
        <v>518</v>
      </c>
      <c r="F11" s="6">
        <f>(D11 - Flood_Pricing_Model_State!K15)/Flood_Pricing_Model_State!K15</f>
        <v>1.524486473930144</v>
      </c>
    </row>
    <row r="12" spans="1:6" x14ac:dyDescent="0.2">
      <c r="A12" s="8" t="s">
        <v>76</v>
      </c>
      <c r="B12" s="9">
        <v>28492.12</v>
      </c>
      <c r="C12" s="9">
        <v>44294.13</v>
      </c>
      <c r="D12" s="9">
        <v>303.89999999999998</v>
      </c>
      <c r="E12" s="9">
        <v>394.3</v>
      </c>
      <c r="F12" s="6">
        <f>(D12 - Flood_Pricing_Model_State!K16)/Flood_Pricing_Model_State!K16</f>
        <v>2.209569891517031</v>
      </c>
    </row>
    <row r="13" spans="1:6" x14ac:dyDescent="0.2">
      <c r="A13" s="8" t="s">
        <v>27</v>
      </c>
      <c r="B13" s="9">
        <v>11017.01</v>
      </c>
      <c r="C13" s="9">
        <v>16293.85</v>
      </c>
      <c r="D13" s="9">
        <v>143.9</v>
      </c>
      <c r="E13" s="9">
        <v>185</v>
      </c>
      <c r="F13" s="6">
        <f>(D13 - Flood_Pricing_Model_State!K17)/Flood_Pricing_Model_State!K17</f>
        <v>2.557705180674092</v>
      </c>
    </row>
    <row r="14" spans="1:6" x14ac:dyDescent="0.2">
      <c r="A14" s="8" t="s">
        <v>28</v>
      </c>
      <c r="B14" s="9">
        <v>40185.82</v>
      </c>
      <c r="C14" s="9">
        <v>63286.37</v>
      </c>
      <c r="D14" s="9">
        <v>321.10000000000002</v>
      </c>
      <c r="E14" s="9">
        <v>396.4</v>
      </c>
      <c r="F14" s="6">
        <f>(D14 - Flood_Pricing_Model_State!K18)/Flood_Pricing_Model_State!K18</f>
        <v>1.6514464676857328</v>
      </c>
    </row>
    <row r="15" spans="1:6" x14ac:dyDescent="0.2">
      <c r="A15" s="8" t="s">
        <v>29</v>
      </c>
      <c r="B15" s="9">
        <v>33563.160000000003</v>
      </c>
      <c r="C15" s="9">
        <v>52823.05</v>
      </c>
      <c r="D15" s="9">
        <v>283.60000000000002</v>
      </c>
      <c r="E15" s="9">
        <v>340.8</v>
      </c>
      <c r="F15" s="6">
        <f>(D15 - Flood_Pricing_Model_State!K19)/Flood_Pricing_Model_State!K19</f>
        <v>1.7959771766794792</v>
      </c>
    </row>
    <row r="16" spans="1:6" x14ac:dyDescent="0.2">
      <c r="A16" s="8" t="s">
        <v>30</v>
      </c>
      <c r="B16" s="9">
        <v>35566.800000000003</v>
      </c>
      <c r="C16" s="9">
        <v>59827.33</v>
      </c>
      <c r="D16" s="9">
        <v>319.10000000000002</v>
      </c>
      <c r="E16" s="9">
        <v>389.6</v>
      </c>
      <c r="F16" s="6">
        <f>(D16 - Flood_Pricing_Model_State!K20)/Flood_Pricing_Model_State!K20</f>
        <v>1.7729439623284742</v>
      </c>
    </row>
    <row r="17" spans="1:6" x14ac:dyDescent="0.2">
      <c r="A17" s="8" t="s">
        <v>31</v>
      </c>
      <c r="B17" s="9">
        <v>23518.76</v>
      </c>
      <c r="C17" s="9">
        <v>36629.71</v>
      </c>
      <c r="D17" s="9">
        <v>225.2</v>
      </c>
      <c r="E17" s="9">
        <v>278.39999999999998</v>
      </c>
      <c r="F17" s="6">
        <f>(D17 - Flood_Pricing_Model_State!K21)/Flood_Pricing_Model_State!K21</f>
        <v>1.9897637079971295</v>
      </c>
    </row>
    <row r="18" spans="1:6" x14ac:dyDescent="0.2">
      <c r="A18" s="8" t="s">
        <v>32</v>
      </c>
      <c r="B18" s="9">
        <v>52665.26</v>
      </c>
      <c r="C18" s="9">
        <v>90053.68</v>
      </c>
      <c r="D18" s="9">
        <v>406</v>
      </c>
      <c r="E18" s="9">
        <v>503.9</v>
      </c>
      <c r="F18" s="6">
        <f>(D18 - Flood_Pricing_Model_State!K22)/Flood_Pricing_Model_State!K22</f>
        <v>1.5214094357647165</v>
      </c>
    </row>
    <row r="19" spans="1:6" x14ac:dyDescent="0.2">
      <c r="A19" s="8" t="s">
        <v>33</v>
      </c>
      <c r="B19" s="9">
        <v>175784.91</v>
      </c>
      <c r="C19" s="9">
        <v>315762.39</v>
      </c>
      <c r="D19" s="9">
        <v>1094.7</v>
      </c>
      <c r="E19" s="9">
        <v>1249.4000000000001</v>
      </c>
      <c r="F19" s="6">
        <f>(D19 - Flood_Pricing_Model_State!K23)/Flood_Pricing_Model_State!K23</f>
        <v>1.2433718356192651</v>
      </c>
    </row>
    <row r="20" spans="1:6" x14ac:dyDescent="0.2">
      <c r="A20" s="8" t="s">
        <v>34</v>
      </c>
      <c r="B20" s="9">
        <v>15805.26</v>
      </c>
      <c r="C20" s="9">
        <v>24164.62</v>
      </c>
      <c r="D20" s="9">
        <v>185.9</v>
      </c>
      <c r="E20" s="9">
        <v>233.4</v>
      </c>
      <c r="F20" s="6">
        <f>(D20 - Flood_Pricing_Model_State!K24)/Flood_Pricing_Model_State!K24</f>
        <v>2.2952227187849901</v>
      </c>
    </row>
    <row r="21" spans="1:6" x14ac:dyDescent="0.2">
      <c r="A21" s="8" t="s">
        <v>35</v>
      </c>
      <c r="B21" s="9">
        <v>37837.74</v>
      </c>
      <c r="C21" s="9">
        <v>61932.46</v>
      </c>
      <c r="D21" s="9">
        <v>339.9</v>
      </c>
      <c r="E21" s="9">
        <v>418.2</v>
      </c>
      <c r="F21" s="6">
        <f>(D21 - Flood_Pricing_Model_State!K25)/Flood_Pricing_Model_State!K25</f>
        <v>1.7666644314217819</v>
      </c>
    </row>
    <row r="22" spans="1:6" x14ac:dyDescent="0.2">
      <c r="A22" s="8" t="s">
        <v>36</v>
      </c>
      <c r="B22" s="9">
        <v>38754.42</v>
      </c>
      <c r="C22" s="9">
        <v>66871.53</v>
      </c>
      <c r="D22" s="9">
        <v>369.2</v>
      </c>
      <c r="E22" s="9">
        <v>446</v>
      </c>
      <c r="F22" s="6">
        <f>(D22 - Flood_Pricing_Model_State!K26)/Flood_Pricing_Model_State!K26</f>
        <v>1.8479347676940727</v>
      </c>
    </row>
    <row r="23" spans="1:6" x14ac:dyDescent="0.2">
      <c r="A23" s="8" t="s">
        <v>37</v>
      </c>
      <c r="B23" s="9">
        <v>21973.07</v>
      </c>
      <c r="C23" s="9">
        <v>34237.64</v>
      </c>
      <c r="D23" s="9">
        <v>216.5</v>
      </c>
      <c r="E23" s="9">
        <v>265.5</v>
      </c>
      <c r="F23" s="6">
        <f>(D23 - Flood_Pricing_Model_State!K27)/Flood_Pricing_Model_State!K27</f>
        <v>1.9620659793775452</v>
      </c>
    </row>
    <row r="24" spans="1:6" x14ac:dyDescent="0.2">
      <c r="A24" s="8" t="s">
        <v>38</v>
      </c>
      <c r="B24" s="9">
        <v>23351.31</v>
      </c>
      <c r="C24" s="9">
        <v>36491.32</v>
      </c>
      <c r="D24" s="9">
        <v>238.5</v>
      </c>
      <c r="E24" s="9">
        <v>306.7</v>
      </c>
      <c r="F24" s="6">
        <f>(D24 - Flood_Pricing_Model_State!K28)/Flood_Pricing_Model_State!K28</f>
        <v>2.0957246680899093</v>
      </c>
    </row>
    <row r="25" spans="1:6" x14ac:dyDescent="0.2">
      <c r="A25" s="8" t="s">
        <v>39</v>
      </c>
      <c r="B25" s="9">
        <v>76475.61</v>
      </c>
      <c r="C25" s="9">
        <v>128938.5</v>
      </c>
      <c r="D25" s="9">
        <v>542.5</v>
      </c>
      <c r="E25" s="9">
        <v>651.1</v>
      </c>
      <c r="F25" s="6">
        <f>(D25 - Flood_Pricing_Model_State!K29)/Flood_Pricing_Model_State!K29</f>
        <v>1.473715125562465</v>
      </c>
    </row>
    <row r="26" spans="1:6" x14ac:dyDescent="0.2">
      <c r="A26" s="8" t="s">
        <v>40</v>
      </c>
      <c r="B26" s="9">
        <v>47925.31</v>
      </c>
      <c r="C26" s="9">
        <v>81520.509999999995</v>
      </c>
      <c r="D26" s="9">
        <v>383.7</v>
      </c>
      <c r="E26" s="9">
        <v>468.6</v>
      </c>
      <c r="F26" s="6">
        <f>(D26 - Flood_Pricing_Model_State!K30)/Flood_Pricing_Model_State!K30</f>
        <v>1.6083465001430826</v>
      </c>
    </row>
    <row r="27" spans="1:6" x14ac:dyDescent="0.2">
      <c r="A27" s="8" t="s">
        <v>41</v>
      </c>
      <c r="B27" s="9">
        <v>12980.14</v>
      </c>
      <c r="C27" s="9">
        <v>19965.39</v>
      </c>
      <c r="D27" s="9">
        <v>163.9</v>
      </c>
      <c r="E27" s="9">
        <v>214.2</v>
      </c>
      <c r="F27" s="6">
        <f>(D27 - Flood_Pricing_Model_State!K31)/Flood_Pricing_Model_State!K31</f>
        <v>2.4727319301563573</v>
      </c>
    </row>
    <row r="28" spans="1:6" x14ac:dyDescent="0.2">
      <c r="A28" s="8" t="s">
        <v>42</v>
      </c>
      <c r="B28" s="9">
        <v>21324.42</v>
      </c>
      <c r="C28" s="9">
        <v>32446.19</v>
      </c>
      <c r="D28" s="9">
        <v>208.9</v>
      </c>
      <c r="E28" s="9">
        <v>267.89999999999998</v>
      </c>
      <c r="F28" s="6">
        <f>(D28 - Flood_Pricing_Model_State!K32)/Flood_Pricing_Model_State!K32</f>
        <v>1.9610187446730489</v>
      </c>
    </row>
    <row r="29" spans="1:6" x14ac:dyDescent="0.2">
      <c r="A29" s="8" t="s">
        <v>43</v>
      </c>
      <c r="B29" s="9">
        <v>9280.7999999999993</v>
      </c>
      <c r="C29" s="9">
        <v>13893.84</v>
      </c>
      <c r="D29" s="9">
        <v>130.30000000000001</v>
      </c>
      <c r="E29" s="9">
        <v>167.7</v>
      </c>
      <c r="F29" s="6">
        <f>(D29 - Flood_Pricing_Model_State!K33)/Flood_Pricing_Model_State!K33</f>
        <v>2.6037965273703771</v>
      </c>
    </row>
    <row r="30" spans="1:6" x14ac:dyDescent="0.2">
      <c r="A30" s="8" t="s">
        <v>44</v>
      </c>
      <c r="B30" s="9">
        <v>16248.3</v>
      </c>
      <c r="C30" s="9">
        <v>25348.07</v>
      </c>
      <c r="D30" s="9">
        <v>188.7</v>
      </c>
      <c r="E30" s="9">
        <v>241.2</v>
      </c>
      <c r="F30" s="6">
        <f>(D30 - Flood_Pricing_Model_State!K34)/Flood_Pricing_Model_State!K34</f>
        <v>2.2519422697710039</v>
      </c>
    </row>
    <row r="31" spans="1:6" x14ac:dyDescent="0.2">
      <c r="A31" s="8" t="s">
        <v>45</v>
      </c>
      <c r="B31" s="9">
        <v>76735.59</v>
      </c>
      <c r="C31" s="9">
        <v>135164.82</v>
      </c>
      <c r="D31" s="9">
        <v>622.29999999999995</v>
      </c>
      <c r="E31" s="9">
        <v>746.2</v>
      </c>
      <c r="F31" s="6">
        <f>(D31 - Flood_Pricing_Model_State!K35)/Flood_Pricing_Model_State!K35</f>
        <v>1.5821106116936758</v>
      </c>
    </row>
    <row r="32" spans="1:6" x14ac:dyDescent="0.2">
      <c r="A32" s="8" t="s">
        <v>46</v>
      </c>
      <c r="B32" s="9">
        <v>13229.24</v>
      </c>
      <c r="C32" s="9">
        <v>19783.349999999999</v>
      </c>
      <c r="D32" s="9">
        <v>155.69999999999999</v>
      </c>
      <c r="E32" s="9">
        <v>200.4</v>
      </c>
      <c r="F32" s="6">
        <f>(D32 - Flood_Pricing_Model_State!K36)/Flood_Pricing_Model_State!K36</f>
        <v>2.2989893930771497</v>
      </c>
    </row>
    <row r="33" spans="1:6" x14ac:dyDescent="0.2">
      <c r="A33" s="8" t="s">
        <v>47</v>
      </c>
      <c r="B33" s="9">
        <v>86504.91</v>
      </c>
      <c r="C33" s="9">
        <v>154457.89000000001</v>
      </c>
      <c r="D33" s="9">
        <v>684.2</v>
      </c>
      <c r="E33" s="9">
        <v>816.2</v>
      </c>
      <c r="F33" s="6">
        <f>(D33 - Flood_Pricing_Model_State!K37)/Flood_Pricing_Model_State!K37</f>
        <v>1.5424803561232467</v>
      </c>
    </row>
    <row r="34" spans="1:6" x14ac:dyDescent="0.2">
      <c r="A34" s="8" t="s">
        <v>48</v>
      </c>
      <c r="B34" s="9">
        <v>93314.74</v>
      </c>
      <c r="C34" s="9">
        <v>163585.35</v>
      </c>
      <c r="D34" s="9">
        <v>652.4</v>
      </c>
      <c r="E34" s="9">
        <v>781.1</v>
      </c>
      <c r="F34" s="6">
        <f>(D34 - Flood_Pricing_Model_State!K38)/Flood_Pricing_Model_State!K38</f>
        <v>1.3921781073740742</v>
      </c>
    </row>
    <row r="35" spans="1:6" x14ac:dyDescent="0.2">
      <c r="A35" s="8" t="s">
        <v>49</v>
      </c>
      <c r="B35" s="9">
        <v>20185.150000000001</v>
      </c>
      <c r="C35" s="9">
        <v>31600.68</v>
      </c>
      <c r="D35" s="9">
        <v>227.4</v>
      </c>
      <c r="E35" s="9">
        <v>279.39999999999998</v>
      </c>
      <c r="F35" s="6">
        <f>(D35 - Flood_Pricing_Model_State!K39)/Flood_Pricing_Model_State!K39</f>
        <v>2.1958102170469167</v>
      </c>
    </row>
    <row r="36" spans="1:6" x14ac:dyDescent="0.2">
      <c r="A36" s="8" t="s">
        <v>50</v>
      </c>
      <c r="B36" s="9">
        <v>34610.9</v>
      </c>
      <c r="C36" s="9">
        <v>54430.92</v>
      </c>
      <c r="D36" s="9">
        <v>283.2</v>
      </c>
      <c r="E36" s="9">
        <v>337.6</v>
      </c>
      <c r="F36" s="6">
        <f>(D36 - Flood_Pricing_Model_State!K40)/Flood_Pricing_Model_State!K40</f>
        <v>1.7222327857007675</v>
      </c>
    </row>
    <row r="37" spans="1:6" x14ac:dyDescent="0.2">
      <c r="A37" s="8" t="s">
        <v>51</v>
      </c>
      <c r="B37" s="9">
        <v>32996.81</v>
      </c>
      <c r="C37" s="9">
        <v>54081.01</v>
      </c>
      <c r="D37" s="9">
        <v>296.89999999999998</v>
      </c>
      <c r="E37" s="9">
        <v>372.3</v>
      </c>
      <c r="F37" s="6">
        <f>(D37 - Flood_Pricing_Model_State!K41)/Flood_Pricing_Model_State!K41</f>
        <v>1.8013525970028654</v>
      </c>
    </row>
    <row r="38" spans="1:6" x14ac:dyDescent="0.2">
      <c r="A38" s="8" t="s">
        <v>52</v>
      </c>
      <c r="B38" s="9">
        <v>26011.3</v>
      </c>
      <c r="C38" s="9">
        <v>43116.52</v>
      </c>
      <c r="D38" s="9">
        <v>277.5</v>
      </c>
      <c r="E38" s="9">
        <v>353.6</v>
      </c>
      <c r="F38" s="6">
        <f>(D38 - Flood_Pricing_Model_State!K42)/Flood_Pricing_Model_State!K42</f>
        <v>1.9724504838590269</v>
      </c>
    </row>
    <row r="39" spans="1:6" x14ac:dyDescent="0.2">
      <c r="A39" s="8" t="s">
        <v>53</v>
      </c>
      <c r="B39" s="9">
        <v>61058.33</v>
      </c>
      <c r="C39" s="9">
        <v>104268.2</v>
      </c>
      <c r="D39" s="9">
        <v>475.6</v>
      </c>
      <c r="E39" s="9">
        <v>583.6</v>
      </c>
      <c r="F39" s="6">
        <f>(D39 - Flood_Pricing_Model_State!K43)/Flood_Pricing_Model_State!K43</f>
        <v>1.5670743775698988</v>
      </c>
    </row>
    <row r="40" spans="1:6" x14ac:dyDescent="0.2">
      <c r="A40" s="8" t="s">
        <v>54</v>
      </c>
      <c r="B40" s="9">
        <v>25713.91</v>
      </c>
      <c r="C40" s="9">
        <v>39912.800000000003</v>
      </c>
      <c r="D40" s="9">
        <v>280.8</v>
      </c>
      <c r="E40" s="9">
        <v>346.5</v>
      </c>
      <c r="F40" s="6">
        <f>(D40 - Flood_Pricing_Model_State!K44)/Flood_Pricing_Model_State!K44</f>
        <v>2.1030679924052209</v>
      </c>
    </row>
    <row r="41" spans="1:6" x14ac:dyDescent="0.2">
      <c r="A41" s="8" t="s">
        <v>55</v>
      </c>
      <c r="B41" s="9">
        <v>78214.679999999993</v>
      </c>
      <c r="C41" s="9">
        <v>136255.14000000001</v>
      </c>
      <c r="D41" s="9">
        <v>570.1</v>
      </c>
      <c r="E41" s="9">
        <v>673.2</v>
      </c>
      <c r="F41" s="6">
        <f>(D41 - Flood_Pricing_Model_State!K45)/Flood_Pricing_Model_State!K45</f>
        <v>1.4555967929744194</v>
      </c>
    </row>
    <row r="42" spans="1:6" x14ac:dyDescent="0.2">
      <c r="A42" s="8" t="s">
        <v>56</v>
      </c>
      <c r="B42" s="9">
        <v>15907.42</v>
      </c>
      <c r="C42" s="9">
        <v>24639.49</v>
      </c>
      <c r="D42" s="9">
        <v>183.6</v>
      </c>
      <c r="E42" s="9">
        <v>228.4</v>
      </c>
      <c r="F42" s="6">
        <f>(D42 - Flood_Pricing_Model_State!K46)/Flood_Pricing_Model_State!K46</f>
        <v>2.3284182726052114</v>
      </c>
    </row>
    <row r="43" spans="1:6" x14ac:dyDescent="0.2">
      <c r="A43" s="8" t="s">
        <v>57</v>
      </c>
      <c r="B43" s="9">
        <v>48570.43</v>
      </c>
      <c r="C43" s="9">
        <v>81038.539999999994</v>
      </c>
      <c r="D43" s="9">
        <v>391.6</v>
      </c>
      <c r="E43" s="9">
        <v>459</v>
      </c>
      <c r="F43" s="6">
        <f>(D43 - Flood_Pricing_Model_State!K47)/Flood_Pricing_Model_State!K47</f>
        <v>1.6620497509930447</v>
      </c>
    </row>
    <row r="44" spans="1:6" x14ac:dyDescent="0.2">
      <c r="A44" s="8" t="s">
        <v>0</v>
      </c>
      <c r="B44" s="9">
        <v>123930.46</v>
      </c>
      <c r="C44" s="9">
        <v>219625.39</v>
      </c>
      <c r="D44" s="9">
        <v>833.6</v>
      </c>
      <c r="E44" s="9">
        <v>992.2</v>
      </c>
      <c r="F44" s="6">
        <f>(D44 - Flood_Pricing_Model_State!K48)/Flood_Pricing_Model_State!K48</f>
        <v>1.3420270604498759</v>
      </c>
    </row>
    <row r="45" spans="1:6" x14ac:dyDescent="0.2">
      <c r="A45" s="8" t="s">
        <v>77</v>
      </c>
      <c r="B45" s="9">
        <v>8569.5</v>
      </c>
      <c r="C45" s="9">
        <v>12822.54</v>
      </c>
      <c r="D45" s="9">
        <v>126.4</v>
      </c>
      <c r="E45" s="9">
        <v>158.80000000000001</v>
      </c>
      <c r="F45" s="6">
        <f>(D45 - Flood_Pricing_Model_State!K49)/Flood_Pricing_Model_State!K49</f>
        <v>2.7289936541078799</v>
      </c>
    </row>
    <row r="46" spans="1:6" x14ac:dyDescent="0.2">
      <c r="A46" s="8" t="s">
        <v>59</v>
      </c>
      <c r="B46" s="9">
        <v>34122.99</v>
      </c>
      <c r="C46" s="9">
        <v>61401.3</v>
      </c>
      <c r="D46" s="9">
        <v>370.3</v>
      </c>
      <c r="E46" s="9">
        <v>446.7</v>
      </c>
      <c r="F46" s="6">
        <f>(D46 - Flood_Pricing_Model_State!K50)/Flood_Pricing_Model_State!K50</f>
        <v>1.9816827858698922</v>
      </c>
    </row>
    <row r="47" spans="1:6" x14ac:dyDescent="0.2">
      <c r="A47" s="8" t="s">
        <v>60</v>
      </c>
      <c r="B47" s="9">
        <v>50530.94</v>
      </c>
      <c r="C47" s="9">
        <v>82502.14</v>
      </c>
      <c r="D47" s="9">
        <v>405.2</v>
      </c>
      <c r="E47" s="9">
        <v>492.5</v>
      </c>
      <c r="F47" s="6">
        <f>(D47 - Flood_Pricing_Model_State!K51)/Flood_Pricing_Model_State!K51</f>
        <v>1.6284632121733866</v>
      </c>
    </row>
    <row r="48" spans="1:6" x14ac:dyDescent="0.2">
      <c r="A48" s="8" t="s">
        <v>2</v>
      </c>
      <c r="B48" s="9">
        <v>32085.89</v>
      </c>
      <c r="C48" s="9">
        <v>55891.18</v>
      </c>
      <c r="D48" s="9">
        <v>328.6</v>
      </c>
      <c r="E48" s="9">
        <v>405.7</v>
      </c>
      <c r="F48" s="6">
        <f>(D48 - Flood_Pricing_Model_State!K52)/Flood_Pricing_Model_State!K52</f>
        <v>1.9124197839209298</v>
      </c>
    </row>
    <row r="49" spans="1:6" x14ac:dyDescent="0.2">
      <c r="A49" s="8" t="s">
        <v>61</v>
      </c>
      <c r="B49" s="9">
        <v>47540.74</v>
      </c>
      <c r="C49" s="9">
        <v>80577.66</v>
      </c>
      <c r="D49" s="9">
        <v>388.4</v>
      </c>
      <c r="E49" s="9">
        <v>462.8</v>
      </c>
      <c r="F49" s="6">
        <f>(D49 - Flood_Pricing_Model_State!K53)/Flood_Pricing_Model_State!K53</f>
        <v>1.6442609446712833</v>
      </c>
    </row>
    <row r="50" spans="1:6" x14ac:dyDescent="0.2">
      <c r="A50" s="8" t="s">
        <v>63</v>
      </c>
      <c r="B50" s="9">
        <v>22771.68</v>
      </c>
      <c r="C50" s="9">
        <v>35858.5</v>
      </c>
      <c r="D50" s="9">
        <v>227.7</v>
      </c>
      <c r="E50" s="9">
        <v>284.8</v>
      </c>
      <c r="F50" s="6">
        <f>(D50 - Flood_Pricing_Model_State!K54)/Flood_Pricing_Model_State!K54</f>
        <v>2.0333183018910757</v>
      </c>
    </row>
    <row r="51" spans="1:6" x14ac:dyDescent="0.2">
      <c r="A51" s="8" t="s">
        <v>62</v>
      </c>
      <c r="B51" s="9">
        <v>8606.11</v>
      </c>
      <c r="C51" s="9">
        <v>12387.3</v>
      </c>
      <c r="D51" s="9">
        <v>121.7</v>
      </c>
      <c r="E51" s="9">
        <v>158.69999999999999</v>
      </c>
      <c r="F51" s="6">
        <f>(D51 - Flood_Pricing_Model_State!K55)/Flood_Pricing_Model_State!K55</f>
        <v>2.7141411586501154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Flood_Pricing_Model_State</vt:lpstr>
      <vt:lpstr>Monte_Carlo_Sim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Sampath</dc:creator>
  <cp:lastModifiedBy>Abhinav Sampath</cp:lastModifiedBy>
  <dcterms:created xsi:type="dcterms:W3CDTF">2026-10-04T01:11:44Z</dcterms:created>
  <dcterms:modified xsi:type="dcterms:W3CDTF">2026-10-04T16:19:02Z</dcterms:modified>
</cp:coreProperties>
</file>